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mc:AlternateContent xmlns:mc="http://schemas.openxmlformats.org/markup-compatibility/2006">
    <mc:Choice Requires="x15">
      <x15ac:absPath xmlns:x15ac="http://schemas.microsoft.com/office/spreadsheetml/2010/11/ac" url="https://univali.sharepoint.com/sites/LabEscolasConhecimento/LabConservacaoGestaoCosteira/Documentos Partilhados/UCs é Preciso/Banco de dados_UCs SC/"/>
    </mc:Choice>
  </mc:AlternateContent>
  <xr:revisionPtr revIDLastSave="0" documentId="8_{19663FB0-AE00-4DE3-98D6-9F69C3039674}" xr6:coauthVersionLast="47" xr6:coauthVersionMax="47" xr10:uidLastSave="{00000000-0000-0000-0000-000000000000}"/>
  <bookViews>
    <workbookView xWindow="-120" yWindow="-120" windowWidth="20730" windowHeight="11040" firstSheet="2" activeTab="2" xr2:uid="{00000000-000D-0000-FFFF-FFFF00000000}"/>
  </bookViews>
  <sheets>
    <sheet name="Dicionário" sheetId="18" r:id="rId1"/>
    <sheet name="Roteiro" sheetId="19" r:id="rId2"/>
    <sheet name="UCs" sheetId="2" r:id="rId3"/>
    <sheet name="N SNUC" sheetId="13" r:id="rId4"/>
    <sheet name="Terras Indígenas" sheetId="16" r:id="rId5"/>
    <sheet name="Quilombolas" sheetId="17" r:id="rId6"/>
    <sheet name="Legislação" sheetId="9" r:id="rId7"/>
    <sheet name="Proporção territorial (%)" sheetId="5" r:id="rId8"/>
    <sheet name=" População Mesorregião" sheetId="7" r:id="rId9"/>
    <sheet name="Leg. Estadual" sheetId="10" r:id="rId10"/>
    <sheet name="RPPNS" sheetId="14" r:id="rId11"/>
    <sheet name="referências" sheetId="15" r:id="rId12"/>
    <sheet name="Planilha2" sheetId="21" r:id="rId13"/>
  </sheets>
  <definedNames>
    <definedName name="_xlnm._FilterDatabase" localSheetId="6" hidden="1">Legislação!$A$1:$B$1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6" i="7" l="1"/>
  <c r="C46" i="7"/>
  <c r="D39" i="7"/>
  <c r="C39" i="7"/>
  <c r="D32" i="7"/>
  <c r="C32" i="7"/>
  <c r="D24" i="7"/>
  <c r="C24" i="7"/>
  <c r="D16" i="7"/>
  <c r="C16" i="7"/>
  <c r="D9" i="7"/>
  <c r="C9" i="7"/>
  <c r="G108" i="5"/>
  <c r="C94" i="5"/>
  <c r="G105" i="5"/>
  <c r="E40" i="5"/>
  <c r="C91" i="5"/>
</calcChain>
</file>

<file path=xl/sharedStrings.xml><?xml version="1.0" encoding="utf-8"?>
<sst xmlns="http://schemas.openxmlformats.org/spreadsheetml/2006/main" count="8385" uniqueCount="3322">
  <si>
    <t>ABREVIAÇÃO</t>
  </si>
  <si>
    <t>SIGNIFICADO</t>
  </si>
  <si>
    <t>ABREVIAÇÃO2</t>
  </si>
  <si>
    <t>SIGNIFICADO3</t>
  </si>
  <si>
    <t>UCS</t>
  </si>
  <si>
    <t>Unidades de Conservação</t>
  </si>
  <si>
    <t>N SNUC</t>
  </si>
  <si>
    <t>não faz parte do SNUC</t>
  </si>
  <si>
    <t>SNUC</t>
  </si>
  <si>
    <t>Sistema Nacional de Unidades de Conservação</t>
  </si>
  <si>
    <t>R</t>
  </si>
  <si>
    <t>reserva</t>
  </si>
  <si>
    <t>CNUC</t>
  </si>
  <si>
    <t>Cadastro nacional de unidades de conservação</t>
  </si>
  <si>
    <t>RE</t>
  </si>
  <si>
    <t>reserva ecológica</t>
  </si>
  <si>
    <t>APA</t>
  </si>
  <si>
    <t>Area de Proteção Ambiental</t>
  </si>
  <si>
    <t>APP</t>
  </si>
  <si>
    <t>área de preservação permanente</t>
  </si>
  <si>
    <t>ARIE</t>
  </si>
  <si>
    <t>Area de Relevante Interesse Ecológico</t>
  </si>
  <si>
    <t>PE</t>
  </si>
  <si>
    <t>parque ecológico</t>
  </si>
  <si>
    <t>CE</t>
  </si>
  <si>
    <t>Corredor Ecológicco</t>
  </si>
  <si>
    <t>AP</t>
  </si>
  <si>
    <t>área de proteção</t>
  </si>
  <si>
    <t>ESEC</t>
  </si>
  <si>
    <t>Estação Ecológica</t>
  </si>
  <si>
    <t>AT</t>
  </si>
  <si>
    <t>área tombada</t>
  </si>
  <si>
    <t>FLONA</t>
  </si>
  <si>
    <t>Floresta Nacional</t>
  </si>
  <si>
    <t>HF</t>
  </si>
  <si>
    <t>hortoflorestal</t>
  </si>
  <si>
    <t>PARNA</t>
  </si>
  <si>
    <t>Parque Nacional</t>
  </si>
  <si>
    <t>P</t>
  </si>
  <si>
    <t>Parque</t>
  </si>
  <si>
    <t>Parque Estadual</t>
  </si>
  <si>
    <t>PA</t>
  </si>
  <si>
    <t>parque ambiental</t>
  </si>
  <si>
    <t>REBIO</t>
  </si>
  <si>
    <t>Reserva da Biosfera</t>
  </si>
  <si>
    <t>RESEX</t>
  </si>
  <si>
    <t>Reserva Extrativista</t>
  </si>
  <si>
    <t>PF</t>
  </si>
  <si>
    <t>parque florestal</t>
  </si>
  <si>
    <t>REVIS</t>
  </si>
  <si>
    <t>Refúgio da Vida Slvestre</t>
  </si>
  <si>
    <t>PL</t>
  </si>
  <si>
    <t>parque linear</t>
  </si>
  <si>
    <t>RPPN</t>
  </si>
  <si>
    <t>Reserva Particular do Patrimônio Natural</t>
  </si>
  <si>
    <t>PM</t>
  </si>
  <si>
    <t>parque municipal</t>
  </si>
  <si>
    <t>LEGISLAÇÃO</t>
  </si>
  <si>
    <t>PME</t>
  </si>
  <si>
    <t>parque municipal ecológico</t>
  </si>
  <si>
    <t>DF</t>
  </si>
  <si>
    <t>decreto (federal)</t>
  </si>
  <si>
    <t>RF</t>
  </si>
  <si>
    <t>reserva florestal</t>
  </si>
  <si>
    <t>DOU</t>
  </si>
  <si>
    <t>diário oficial da união</t>
  </si>
  <si>
    <t>RN</t>
  </si>
  <si>
    <t>reserva natural</t>
  </si>
  <si>
    <t>LO</t>
  </si>
  <si>
    <t>lei ordinária (federal)</t>
  </si>
  <si>
    <t>UC</t>
  </si>
  <si>
    <t>Unidade de Conservação</t>
  </si>
  <si>
    <t>LC</t>
  </si>
  <si>
    <t>lei complementar (federal)</t>
  </si>
  <si>
    <t>UCAD</t>
  </si>
  <si>
    <t>Unidade de Conservação Ambiental Desterro</t>
  </si>
  <si>
    <t>projeto de lei (federal)</t>
  </si>
  <si>
    <t>UTEPP</t>
  </si>
  <si>
    <t>Unidade Territorial Exclusiva de Preservação Permanente</t>
  </si>
  <si>
    <t>DE</t>
  </si>
  <si>
    <t>decreto (estadual)</t>
  </si>
  <si>
    <t>FONTE EM VERMELHO</t>
  </si>
  <si>
    <t>informações divergentes no CNUC e nossa base de dados</t>
  </si>
  <si>
    <t>DOE</t>
  </si>
  <si>
    <t>diário oficial do estado</t>
  </si>
  <si>
    <t>coluna em laranja</t>
  </si>
  <si>
    <t>informações não presentes nas colunas da base de dados do CNUC, mas úteis para a nossa rotina de trabalho</t>
  </si>
  <si>
    <t>LE</t>
  </si>
  <si>
    <t>lei ordinária estadual</t>
  </si>
  <si>
    <t>preenchimento em amarelo</t>
  </si>
  <si>
    <t>dados ausentes no CNUC, apesar de cadastrada a UC</t>
  </si>
  <si>
    <t>LCE</t>
  </si>
  <si>
    <t>lei complementar estadual</t>
  </si>
  <si>
    <t>PLE</t>
  </si>
  <si>
    <t>projeto de lei estadual</t>
  </si>
  <si>
    <t>DM</t>
  </si>
  <si>
    <t>decreto (municipal)</t>
  </si>
  <si>
    <t>DOM</t>
  </si>
  <si>
    <t>diário oficial do município</t>
  </si>
  <si>
    <t>LM</t>
  </si>
  <si>
    <t>lei ordinária (municipal)</t>
  </si>
  <si>
    <t>LCM</t>
  </si>
  <si>
    <t>lei complementar (municipal)</t>
  </si>
  <si>
    <t>PLM</t>
  </si>
  <si>
    <t>projeto de lei (municipal)</t>
  </si>
  <si>
    <t>Nome da UC</t>
  </si>
  <si>
    <t>Categoria de Manejo</t>
  </si>
  <si>
    <t>Esfera Administrativa</t>
  </si>
  <si>
    <t xml:space="preserve">Município </t>
  </si>
  <si>
    <t>Ato de criação</t>
  </si>
  <si>
    <t>Porque não está no CNUC?</t>
  </si>
  <si>
    <t>Limites definidos</t>
  </si>
  <si>
    <t>Plano de Manejo?</t>
  </si>
  <si>
    <t xml:space="preserve">Conselho Gestor? </t>
  </si>
  <si>
    <t xml:space="preserve">Data do contato </t>
  </si>
  <si>
    <t>Parque Ecológico Municipal José Milanese</t>
  </si>
  <si>
    <t>Municipal</t>
  </si>
  <si>
    <t>Criciúma</t>
  </si>
  <si>
    <t>LM 2856/93</t>
  </si>
  <si>
    <t>Foi destituído há três anos</t>
  </si>
  <si>
    <t>Vinícius - Depart. Educação Ambiental</t>
  </si>
  <si>
    <t>Sim</t>
  </si>
  <si>
    <t>?</t>
  </si>
  <si>
    <t>CNUC?</t>
  </si>
  <si>
    <t>ID_UC</t>
  </si>
  <si>
    <t>CÓDIGO_UC</t>
  </si>
  <si>
    <t>Informações Gerais</t>
  </si>
  <si>
    <t>Categoria IUCN</t>
  </si>
  <si>
    <t>ato de criação</t>
  </si>
  <si>
    <t>Municípios abrangidos</t>
  </si>
  <si>
    <t>Área Ato Legal de Criação</t>
  </si>
  <si>
    <t>UF</t>
  </si>
  <si>
    <t>Ano de Criação</t>
  </si>
  <si>
    <t>Ano do ato legal mais recente</t>
  </si>
  <si>
    <t>Outros atos legais</t>
  </si>
  <si>
    <t>Plano de manejo</t>
  </si>
  <si>
    <t>Conselho gestor</t>
  </si>
  <si>
    <t>Órgão gestor</t>
  </si>
  <si>
    <t>Fonte da área: (1 = SHP, 0 = Ato legal)</t>
  </si>
  <si>
    <t>Área soma biomas</t>
  </si>
  <si>
    <t>Área soma Biomas Continental</t>
  </si>
  <si>
    <t>Bioma Área (ha)</t>
  </si>
  <si>
    <t>Amazônia</t>
  </si>
  <si>
    <t>Caatinga</t>
  </si>
  <si>
    <t>Cerrado</t>
  </si>
  <si>
    <t>Mata Atlântica</t>
  </si>
  <si>
    <t>Pampa</t>
  </si>
  <si>
    <t>Pantanal</t>
  </si>
  <si>
    <t>Área Marinha</t>
  </si>
  <si>
    <t>Bioma declarado</t>
  </si>
  <si>
    <t>% Além da linha de costa</t>
  </si>
  <si>
    <t>Grupo</t>
  </si>
  <si>
    <t>PI</t>
  </si>
  <si>
    <t>US</t>
  </si>
  <si>
    <t>Recortes (ha)</t>
  </si>
  <si>
    <t>Mar Territorial</t>
  </si>
  <si>
    <t>Município Costeiro</t>
  </si>
  <si>
    <t>Município Costeiro + Área Marinha</t>
  </si>
  <si>
    <t>Programa/Projeto</t>
  </si>
  <si>
    <t>Sítios do Patrimônio Mundial</t>
  </si>
  <si>
    <t>Sítios Ramsar</t>
  </si>
  <si>
    <t>Mosaico</t>
  </si>
  <si>
    <t>WDPAID</t>
  </si>
  <si>
    <t>INSTRUMENTO PLANO DE MANEJO</t>
  </si>
  <si>
    <t xml:space="preserve"> LINK PLANO DE MANEJO</t>
  </si>
  <si>
    <t>MAPA</t>
  </si>
  <si>
    <t>LINK PARA ATO DE CRIAÇÃO</t>
  </si>
  <si>
    <t>observações</t>
  </si>
  <si>
    <t>Encaminhamentos</t>
  </si>
  <si>
    <t>S</t>
  </si>
  <si>
    <t>0000.00.0158</t>
  </si>
  <si>
    <t>Parque Nacional De Aparados Da Serra</t>
  </si>
  <si>
    <t xml:space="preserve">Parque </t>
  </si>
  <si>
    <t>Federal</t>
  </si>
  <si>
    <t>Category II</t>
  </si>
  <si>
    <t xml:space="preserve">Dec 47446/59 </t>
  </si>
  <si>
    <t>CAMBARÁ DO SUL (RS) - PRAIA GRANDE (SC)</t>
  </si>
  <si>
    <t>10250, 5224 em SC</t>
  </si>
  <si>
    <t>RS, SC</t>
  </si>
  <si>
    <t>Dec 70.296/72</t>
  </si>
  <si>
    <t>SIM</t>
  </si>
  <si>
    <t>INSTITUTO CHICO MENDES DE CONSERVAÇÃO DA BIODIVERSIDADE</t>
  </si>
  <si>
    <t>Proteção Integral</t>
  </si>
  <si>
    <t>GEF Terrestre-Estratégias de conservação, restauração e manejo para a biodiversidade da Caatinga, Pampa e Pantanal</t>
  </si>
  <si>
    <t>Portaria Nº 405 de 16/08/2019</t>
  </si>
  <si>
    <t>ato legal: https://www.gov.br/icmbio/pt-br/assuntos/biodiversidade/unidade-de-conservacao/unidades-de-biomas/mata-atlantica/lista-de-ucs/parna-de-aparados-da-serra/parna-de-aparados-da-serra | documento do Plano de Manejo: https://www.gov.br/icmbio/pt-br/assuntos/biodiversidade/unidade-de-conservacao/unidades-de-biomas/mata-atlantica/lista-de-ucs/parna-de-aparados-da-serra/parna-de-aparados-da-serra</t>
  </si>
  <si>
    <t>0000.00.0165</t>
  </si>
  <si>
    <t>Parque Nacional De São Joaquim</t>
  </si>
  <si>
    <t>Dec 50.922/61</t>
  </si>
  <si>
    <t>BOM JARDIM DA SERRA (SC) - GRÃO PARÁ (SC) - ORLEANS (SC) - URUBICI (SC)</t>
  </si>
  <si>
    <t>SC</t>
  </si>
  <si>
    <t>Ampliação: Lei ordinária 13273 de 15/04/2016</t>
  </si>
  <si>
    <t>SEM INFORMAÇÃO</t>
  </si>
  <si>
    <t>Sem informação.</t>
  </si>
  <si>
    <t>0710.42.3398</t>
  </si>
  <si>
    <t>Foi criado em 08/04/1961 pelo padre e botânico Raulino Reitz e pertencia ao Herbário Barbosa Rodrigues. Foi legalmente instaurado em 2015.</t>
  </si>
  <si>
    <t>Parque Natural Municipal Morro Do Baú</t>
  </si>
  <si>
    <t xml:space="preserve">DM 51/2015 </t>
  </si>
  <si>
    <t>ILHOTA (SC)</t>
  </si>
  <si>
    <t>Não</t>
  </si>
  <si>
    <t>ASSESSORIA DE PLANEJAMENTO DA PREFEITURA MUNICIPAL DE ILHOTA - SC</t>
  </si>
  <si>
    <t>https://leismunicipais.com.br/a2/sc/i/ilhota/decreto/2015/6/51/decreto-n-51-2015-cria-o-parque-natural-municipal-morro-do-bau-pnmmb-no-municipio-de-ilhota-sc-e-da-outras-providencias</t>
  </si>
  <si>
    <t>https://leismunicipais.com.br/a/sc/i/ilhota/decreto/2015/6/51/decreto-n-51-2015-cria-o-parque-natural-municipal-morro-do-bau-pnmmb-no-municipio-de-ilhota-sc-e-da-outras-providencias</t>
  </si>
  <si>
    <t>0000.00.0078</t>
  </si>
  <si>
    <t>Floresta Nacional De Caçador</t>
  </si>
  <si>
    <t>Category VI</t>
  </si>
  <si>
    <t>Portaria 560 de 25 de outubro de 1968</t>
  </si>
  <si>
    <t>CAÇADOR (SC)</t>
  </si>
  <si>
    <t>Uso Sustentável</t>
  </si>
  <si>
    <t>https://www.gov.br/icmbio/pt-br/assuntos/biodiversidade/unidade-de-conservacao/unidades-de-biomas/mata-atlantica/lista-de-ucs/flona-de-cacador/arquivos/PLANO_GESTAO_FLONA_1989_compressed_compressed_compressed.pdf</t>
  </si>
  <si>
    <t>0000.00.0080</t>
  </si>
  <si>
    <t>Floresta Nacional De Chapecó</t>
  </si>
  <si>
    <t>CHAPECÓ (SC) - GUATAMBÚ (SC)</t>
  </si>
  <si>
    <t>Portaria 224 de 30/08/2013</t>
  </si>
  <si>
    <t>ato legal: https://www.gov.br/icmbio/pt-br/assuntos/biodiversidade/unidade-de-conservacao/unidades-de-biomas/mata-atlantica/lista-de-ucs/flona-de-chapeco/arquivos/PortaprovPMFLONAdeChapec.pdf | documento do Plano de Manejo: Sem informação.</t>
  </si>
  <si>
    <t>0000.00.0134</t>
  </si>
  <si>
    <t>Floresta Nacional De Três Barras</t>
  </si>
  <si>
    <t>TRÊS BARRAS (SC)</t>
  </si>
  <si>
    <t>0000.42.0786</t>
  </si>
  <si>
    <t>Parque Estadual Da Serra Do Tabuleiro</t>
  </si>
  <si>
    <t>Estadual</t>
  </si>
  <si>
    <t>DE 1260/75</t>
  </si>
  <si>
    <t>ÁGUAS MORNAS (SC) - FLORIANÓPOLIS (SC) - IMARUÍ (SC) - PALHOÇA (SC) - PAULO LOPES (SC) - SANTO AMARO DA IMPERATRIZ (SC) - SÃO BONIFÁCIO (SC) - SÃO MARTINHO (SC)</t>
  </si>
  <si>
    <t>LE 14661/2009</t>
  </si>
  <si>
    <t>INSTITUTO DO MEIO AMBIENTE DO ESTADO DE SANTA CATARINA - SC</t>
  </si>
  <si>
    <t>Portaria 289/2018 de 20/12/2018</t>
  </si>
  <si>
    <t>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t>
  </si>
  <si>
    <t>0000.42.1830</t>
  </si>
  <si>
    <t>Reserva Biologica Estadual Do Sassafras</t>
  </si>
  <si>
    <t>Reserva Biológica</t>
  </si>
  <si>
    <t>Category Ia</t>
  </si>
  <si>
    <t>DE 2221/77</t>
  </si>
  <si>
    <t>BENEDITO NOVO (SC) - DOUTOR PEDRINHO (SC)</t>
  </si>
  <si>
    <t>Portaria 236/2011 de 08/09/2011</t>
  </si>
  <si>
    <t>https://www.icmbio.gov.br/cepsul/images/stories/legislacao/Decretos/1977/dec_2221_1977_criareservabiologicaestadualsassafras_sc.pdf</t>
  </si>
  <si>
    <t>N</t>
  </si>
  <si>
    <t>Corredor Ecológico Chapecó</t>
  </si>
  <si>
    <t>Corredor Ecológico</t>
  </si>
  <si>
    <t>DE 2.957/2010</t>
  </si>
  <si>
    <t>Abelardo Luz, Água Doce, Bom Jesus, Coronel Martins, Entre Rios, Faxinal dos Guedes, Galvão, Ipuaçu, Jupiá, Lajeado Grande, Macieira, Marema, Novo Horizonte, Ouro Verde, Passos Maia, Ponte Serrada, Quilombo, Santiago do Sul, São Domingos, São Lourenço do Oeste, Vargeão, Vargem Bonita e Xanxerê</t>
  </si>
  <si>
    <t>0000.42.0780</t>
  </si>
  <si>
    <t>Parque Estadual Da Serra Furada</t>
  </si>
  <si>
    <t>DE 11233/80</t>
  </si>
  <si>
    <t>GRÃO PARÁ (SC) - ORLEANS (SC)</t>
  </si>
  <si>
    <t>Portaria 310/2011 de 22/12/2011</t>
  </si>
  <si>
    <t>http://server03.pge.sc.gov.br/LegislacaoEstadual/1980/011233-005-0-1980-000.htm</t>
  </si>
  <si>
    <t>0000.42.3926</t>
  </si>
  <si>
    <t>Reserva Biológica Estadual Da Canela Preta</t>
  </si>
  <si>
    <t>DE 11232/80</t>
  </si>
  <si>
    <t>BOTUVERÁ (SC) - NOVA TRENTO (SC)</t>
  </si>
  <si>
    <t>0000.42.0781</t>
  </si>
  <si>
    <t>Reserva Biológica Estadual Do Aguaí</t>
  </si>
  <si>
    <t>DE 19635/83</t>
  </si>
  <si>
    <t>MORRO GRANDE (SC) - NOVA VENEZA (SC) - SIDERÓPOLIS (SC) - TREVISO (SC)</t>
  </si>
  <si>
    <t>Portaria 74/2010 de 11/06/2010</t>
  </si>
  <si>
    <t>https://www.ima.sc.gov.br/index.php/downloads/ecossistemas/unidades-de-conservacao/reserva-biologica-estadual-do-aguai/2459-decreto-19635-criacao-da-reserva-biologica-estadual-do-aguai</t>
  </si>
  <si>
    <t>Apa Espigão Da Pedra</t>
  </si>
  <si>
    <t>Área de Proteção Ambiental</t>
  </si>
  <si>
    <t>Category V</t>
  </si>
  <si>
    <t>LM 2214/2004</t>
  </si>
  <si>
    <t>Araranguá</t>
  </si>
  <si>
    <t>Apa Da Costa Do Araranguá</t>
  </si>
  <si>
    <t>DM 7828/16</t>
  </si>
  <si>
    <t>0000.00.0052</t>
  </si>
  <si>
    <t>Estação Ecológica De Carijós</t>
  </si>
  <si>
    <t>Dec. 94.656/87</t>
  </si>
  <si>
    <t>FLORIANÓPOLIS (SC)</t>
  </si>
  <si>
    <t>Portaria 49 de 15/09/2003</t>
  </si>
  <si>
    <t>ato legal: https://www.gov.br/icmbio/pt-br/assuntos/biodiversidade/unidade-de-conservacao/unidades-de-biomas/marinho/lista-de-ucs/esec-de-carijos/arquivos/portaria_PM_EEcarijos_2003.pdf | documento do Plano de Manejo: https://www.gov.br/icmbio/pt-br/assuntos/biodiversidade/unidade-de-conservacao/unidades-de-biomas/marinho/lista-de-ucs/esec-de-carijos</t>
  </si>
  <si>
    <t>Resex Rio Araranguá</t>
  </si>
  <si>
    <t>Category IV</t>
  </si>
  <si>
    <t>DM 7830/2016</t>
  </si>
  <si>
    <t>0000.00.0093</t>
  </si>
  <si>
    <t>Floresta Nacional De Ibirama</t>
  </si>
  <si>
    <t>Dec 95.818/88</t>
  </si>
  <si>
    <t>APIÚNA (SC) - ASCURRA (SC) - IBIRAMA (SC)</t>
  </si>
  <si>
    <t>Portaria nº 59 de 28/08/2008</t>
  </si>
  <si>
    <t>ato legal: https://www.gov.br/icmbio/pt-br/assuntos/biodiversidade/unidade-de-conservacao/unidades-de-biomas/mata-atlantica/lista-de-ucs/flona-de-ibirama/PortaprovPMFLONAIbirama.pdf | documento do Plano de Manejo: https://www.gov.br/icmbio/pt-br/assuntos/biodiversidade/unidade-de-conservacao/unidades-de-biomas/mata-atlantica/lista-de-ucs/flona-de-ibirama/arquivos/flona_ibiramaaa.pdf</t>
  </si>
  <si>
    <t>Mona Morro Dos Conventos</t>
  </si>
  <si>
    <t>Monumento Natural</t>
  </si>
  <si>
    <t>DM 7829/2016</t>
  </si>
  <si>
    <t>ARARANGUÁ (SC)</t>
  </si>
  <si>
    <t>0910.42.2927</t>
  </si>
  <si>
    <t>Reserva De Desenvolvimento Sustentável Da Ilha Do Morro Do Amaral</t>
  </si>
  <si>
    <t>Reserva de Desenvolvimento Sustentável</t>
  </si>
  <si>
    <t>DM 6182/89</t>
  </si>
  <si>
    <t>JOINVILLE (SC)</t>
  </si>
  <si>
    <t>Recategorização: Lei ordinária 7.208 de 12/04/2012 - Deliberação: Decreto 3.024 de 27/02/1975</t>
  </si>
  <si>
    <t>SECRETARIA DE AGRICULTURA E MEIO AMBIENTE DE JOINVILLE - SC</t>
  </si>
  <si>
    <t>https://leismunicipais.com.br/a/sc/j/joinville/decreto/1989/618/6182/decreto-n-6182-1989-cria-o-parque-municipal-da-ilha-do-morro-do-amaral-e-da-outras-providencias.html</t>
  </si>
  <si>
    <t>Apa Zulmir De Bortoli</t>
  </si>
  <si>
    <t>LM 1576/2012</t>
  </si>
  <si>
    <t>Arroio Trinta</t>
  </si>
  <si>
    <t>0000.00.0045</t>
  </si>
  <si>
    <t>Área De Relevante Interesse Ecológico Serra Da Abelha</t>
  </si>
  <si>
    <t>Área de Relevante Interesse Ecológico</t>
  </si>
  <si>
    <t xml:space="preserve">Res CONAMA Nº 005, de 17/10/1990 </t>
  </si>
  <si>
    <t>Vitor Meireles</t>
  </si>
  <si>
    <t>Decreto S/N de 28/05/1996</t>
  </si>
  <si>
    <t>Portaria 28 de 26/04/2016</t>
  </si>
  <si>
    <t>ato legal: https://www.gov.br/icmbio/pt-br/assuntos/biodiversidade/unidade-de-conservacao/unidades-de-biomas/mata-atlantica/lista-de-ucs/arie-serra-da-abelha/arquivos/dcom_portaria_28_de_26_de_abril_2016_arie_serra_da_abelha.pdf | documento do Plano de Manejo: https://www.gov.br/icmbio/pt-br/assuntos/biodiversidade/unidade-de-conservacao/unidades-de-biomas/mata-atlantica/lista-de-ucs/arie-serra-da-abelha/arquivos/dcom_plano_de_manejo_arie_serra_da_abelha.pdf</t>
  </si>
  <si>
    <t>Reserva Biológica Marinha Do Arvoredo</t>
  </si>
  <si>
    <t>DF 99142/90</t>
  </si>
  <si>
    <t>BOMBINHAS (SC) - FLORIANÓPOLIS (SC) - GOVERNADOR CELSO RAMOS (SC)</t>
  </si>
  <si>
    <t>Portaria n° 81 de 10/09/2004</t>
  </si>
  <si>
    <t>ato legal: https://www.gov.br/icmbio/pt-br/assuntos/biodiversidade/unidade-de-conservacao/unidades-de-biomas/marinho/lista-de-ucs/rebio-marinha-do-arvoredo/arquivos/PortaprovPMREBIOArvoredo.pdf | documento do Plano de Manejo: https://www.gov.br/icmbio/pt-br/assuntos/biodiversidade/unidade-de-conservacao/unidades-de-biomas/marinho/lista-de-ucs/rebio-marinha-do-arvoredo</t>
  </si>
  <si>
    <t>0000.00.1079</t>
  </si>
  <si>
    <t>Reserva Particular Do Patrimônio Natural Reserva Do Caraguatá I</t>
  </si>
  <si>
    <t>Portaria 645 - DOU 87 - 08/05/1990 - seção/pg. 1/8634</t>
  </si>
  <si>
    <t>ANTÔNIO CARLOS (SC)</t>
  </si>
  <si>
    <t>0000.00.1090</t>
  </si>
  <si>
    <t>Reserva Particular Do Patrimônio Natural Reserva Do Caraguatá Iii</t>
  </si>
  <si>
    <t>Portaria 061/98-N de 03/05/1990</t>
  </si>
  <si>
    <t>Portaria Retificação - DOU 113 - 17/06/1998 - seção/pg. 1/71</t>
  </si>
  <si>
    <t>0540.42.3159</t>
  </si>
  <si>
    <t>Monumento Natural Municipal Da Galheta</t>
  </si>
  <si>
    <t>Category III</t>
  </si>
  <si>
    <t>LM 3.455/90; Dec 698/94; LM 9.698 de 04/12/2014</t>
  </si>
  <si>
    <t>LM 10.100/2016 (RECATEGORIZOU)</t>
  </si>
  <si>
    <t>NÃO</t>
  </si>
  <si>
    <t>PREFEITURA MUNICIPAL DE FLORIANÓPOLIS - SC</t>
  </si>
  <si>
    <t>https://leismunicipais.com.br/a/sc/f/florianopolis/lei-ordinaria/2016/1010/10100/lei-ordinaria-n-10100-2016-altera-a-lei-n-3455-de-1990-definindo-limites-e-categoria-de-manejo-de-unidade-de-conservacao-municipal-revoga-decreto-n-698-de-1994-a-lei-cmf-n-195-de-1997-a-lei-n-6237-de-2013-a-lei-n-6733-de-2005-a-lei-n-9698-de-2014-e-da-outras-providencias</t>
  </si>
  <si>
    <t>Pnm Zulmir De Bortoli</t>
  </si>
  <si>
    <t>LM 1020/2004</t>
  </si>
  <si>
    <t>ARROIO TRINTA (SC)</t>
  </si>
  <si>
    <t>0000.00.0001</t>
  </si>
  <si>
    <t>Área De Proteção Ambiental Anhatomirim</t>
  </si>
  <si>
    <t>Dec 528/92</t>
  </si>
  <si>
    <t>GOVERNADOR CELSO RAMOS (SC)</t>
  </si>
  <si>
    <t>Portaria ICMBio n. 994 de 10 de dezembro de 2021 de 10/12/2021</t>
  </si>
  <si>
    <t>ato legal: https://www.gov.br/icmbio/pt-br/assuntos/biodiversidade/unidade-de-conservacao/unidades-de-biomas/marinho/lista-de-ucs/apa-anhatomirim/portaria_994.pdf | documento do Plano de Manejo: https://www.gov.br/icmbio/pt-br/assuntos/biodiversidade/unidade-de-conservacao/unidades-de-biomas/marinho/lista-de-ucs/apa-anhatomirim</t>
  </si>
  <si>
    <t>0000.00.1083</t>
  </si>
  <si>
    <t>Reserva Particular Do Patrimônio Natural Fazenda Palmital</t>
  </si>
  <si>
    <t>Portaria 070 - DOU 121 - 26/06/1992 - seção/pg. 01 - 8156</t>
  </si>
  <si>
    <t>ITAPOÁ (SC)</t>
  </si>
  <si>
    <t>0000.00.0153</t>
  </si>
  <si>
    <t>Parque Nacional Da Serra Geral</t>
  </si>
  <si>
    <t xml:space="preserve">Dec 70.296/72 </t>
  </si>
  <si>
    <t>CAMBARÁ DO SUL (RS) - JACINTO MACHADO (SC) - PRAIA GRANDE (SC)</t>
  </si>
  <si>
    <t>17300, 8600 em SC</t>
  </si>
  <si>
    <t>Dec 531/92</t>
  </si>
  <si>
    <t>Portaria 405/2019 de 16/08/2019</t>
  </si>
  <si>
    <t>ato legal: https://www.gov.br/icmbio/pt-br/assuntos/biodiversidade/unidade-de-conservacao/unidades-de-biomas/mata-atlantica/lista-de-ucs/parna-da-serra-geral | documento do Plano de Manejo: https://www.gov.br/icmbio/pt-br/assuntos/biodiversidade/unidade-de-conservacao/unidades-de-biomas/mata-atlantica/lista-de-ucs/parna-da-serra-geral</t>
  </si>
  <si>
    <t>0000.00.0255</t>
  </si>
  <si>
    <t>Reserva Extrativista Marinha Do Pirajubaé</t>
  </si>
  <si>
    <t xml:space="preserve">Dec 533/1992 </t>
  </si>
  <si>
    <t>Portaria 078-N/96; Aprovação plano de manejo: Portaria 825/2021 ICMBIO</t>
  </si>
  <si>
    <t>Portaria n° 825 de 29/11/2021</t>
  </si>
  <si>
    <t>ato legal: https://www.gov.br/icmbio/pt-br/assuntos/biodiversidade/unidade-de-conservacao/unidades-de-biomas/marinho/lista-de-ucs/resex-marinha-do-pirajubae/arquivos/portaria825_29denov2021.pdf | documento do Plano de Manejo: https://www.gov.br/icmbio/pt-br/assuntos/biodiversidade/unidade-de-conservacao/unidades-de-biomas/marinho/lista-de-ucs/resex-marinha-do-pirajubae/Plano_de_Manejo_Resex_Pirajubae.pdf</t>
  </si>
  <si>
    <t>Pnm Mata Atlântica</t>
  </si>
  <si>
    <t>Dec 004/2000</t>
  </si>
  <si>
    <t>ATALANTA (SC)</t>
  </si>
  <si>
    <t>Área De Proteção Ambiental Do Brilhante</t>
  </si>
  <si>
    <t xml:space="preserve"> LM 2832/93</t>
  </si>
  <si>
    <t>ITAJAÍ (SC)</t>
  </si>
  <si>
    <t>novo zoneamento: LCM 215/2012; criou a APA novamente LM 7133/2020</t>
  </si>
  <si>
    <t>FUNDAÇÃO DO MEIO AMBIENTE DE ITAJAÍ - SC</t>
  </si>
  <si>
    <t>https://leismunicipais.com.br/a/sc/i/itajai/lei-ordinaria/2020/714/7133/lei-ordinaria-n-7133-2020-cria-area-de-protecao-ambiental-apa-e-da-outras-providencias</t>
  </si>
  <si>
    <t>0000.00.1086</t>
  </si>
  <si>
    <t>Reserva Particular Do Patrimônio Natural Parque Ecológico Artex</t>
  </si>
  <si>
    <t>Portaria 143-N - DOU 4 - 07/01/1993 - seção/pg. 1/177</t>
  </si>
  <si>
    <t>BLUMENAU (SC)</t>
  </si>
  <si>
    <t>0000.00.1098</t>
  </si>
  <si>
    <t>Reserva Particular Do Patrimônio Natural Reserva Bugerkopf</t>
  </si>
  <si>
    <t>Portaria 148 - DOU 04 - 07/01/1993 - seção/pg. 01 - 178</t>
  </si>
  <si>
    <t>Arie Lagoa Da Cruz</t>
  </si>
  <si>
    <t>LM 28/93</t>
  </si>
  <si>
    <t>Balneário Barra do Sul</t>
  </si>
  <si>
    <t>n/inf</t>
  </si>
  <si>
    <t>0200.42.2643</t>
  </si>
  <si>
    <t>Parque Natural Municipal Raimundo Gonzalez Malta</t>
  </si>
  <si>
    <t>DM 2351/93</t>
  </si>
  <si>
    <t>BALNEÁRIO CAMBORIÚ (SC)</t>
  </si>
  <si>
    <t>Alteração de nome: DM 2611/2006</t>
  </si>
  <si>
    <t>SECRETARIA DE MEIO AMBIENTE DE BALNEÁRIO CAMBORIÚ - SC</t>
  </si>
  <si>
    <t>https://leismunicipais.com.br/a/sc/b/balneario-camboriu/decreto/1993/236/2351/decreto-n-2351-1993-dispoe-sobre-a-criacao-do-parque-ecologico-municipal-rio-camboriu?q=2351</t>
  </si>
  <si>
    <t>Apa Ilhas (Barra Do Sul)</t>
  </si>
  <si>
    <t>LM 379/2002</t>
  </si>
  <si>
    <t>Parque Natural Municipal Da Galheta</t>
  </si>
  <si>
    <t>LM 97/94</t>
  </si>
  <si>
    <t>Bombinhas</t>
  </si>
  <si>
    <t>sem informação</t>
  </si>
  <si>
    <t>https://www.cvbombinhas.sc.gov.br/proposicoes/Leis-ordinarias/1994/3/0/8450</t>
  </si>
  <si>
    <t>Apa Costa Brava</t>
  </si>
  <si>
    <t>LM 1985/2000</t>
  </si>
  <si>
    <t>Balneário Camboriú</t>
  </si>
  <si>
    <t>Corredor Ecológico Timbó</t>
  </si>
  <si>
    <t>DE 2.956/2010</t>
  </si>
  <si>
    <t>Bela Vista do Toldo, Caçador, Calmon, Canoinhas, Irineópolis, Lebon Régis, Major Vieira, Matos Costa, Porto União, Santa Cecília e Timbó Grande</t>
  </si>
  <si>
    <t>Arie Roberto Miguel Klein</t>
  </si>
  <si>
    <t>LCM 4157/92</t>
  </si>
  <si>
    <t>Blumenau</t>
  </si>
  <si>
    <t>Apa São Francisco De Assis</t>
  </si>
  <si>
    <t>LCM 98/95</t>
  </si>
  <si>
    <t>42ha</t>
  </si>
  <si>
    <t>Arie Foz Do Ribeirão Garcia</t>
  </si>
  <si>
    <t>LCM 96/95</t>
  </si>
  <si>
    <t>Apa Das Ilhas Fluviais</t>
  </si>
  <si>
    <t>DM 6435/99</t>
  </si>
  <si>
    <t>Apa Padre Paulino Reitz</t>
  </si>
  <si>
    <t>DM 6797/2001</t>
  </si>
  <si>
    <t>Arie Do Salto</t>
  </si>
  <si>
    <t>DM 8408/2007</t>
  </si>
  <si>
    <t>Pnm Nascentes Do Garcia</t>
  </si>
  <si>
    <t>LM 4990/98</t>
  </si>
  <si>
    <t>Área De Proteção Ambiental Serra Dona Francisca</t>
  </si>
  <si>
    <t>DM 8055/97</t>
  </si>
  <si>
    <t>https://leismunicipais.com.br/a/sc/j/joinville/decreto/1997/805/8055/decreto-n-8055-%0D1997-dispoe-sobre-a-criacao-da-area-de-protecao-ambiental-serra-dona-francisca-nomunicipio-de-joinville-e-da-outras-providencias</t>
  </si>
  <si>
    <t>0000.00.1089</t>
  </si>
  <si>
    <t>Reserva Particular Do Patrimônio Natural Fazenda Pousada Serra Pitoco</t>
  </si>
  <si>
    <t>Portaria 040 - DOU 82 - 02/05/1997 - seção/pg. 01 - 8848</t>
  </si>
  <si>
    <t>ITUPORANGA (SC)</t>
  </si>
  <si>
    <t>0930.42.3122</t>
  </si>
  <si>
    <t>Parque Natural Municipal João José Theodoro Da Costa Neto</t>
  </si>
  <si>
    <t>LC 59/1997</t>
  </si>
  <si>
    <t>LAGES (SC)</t>
  </si>
  <si>
    <t>Lei complementar 288 de 30/03/2005</t>
  </si>
  <si>
    <t>SECRETARIA MUNICIPAL DO MEIO AMBIENTE E SERVIÇOS PÚBLICOS DE LAGES - SC</t>
  </si>
  <si>
    <t>https://leismunicipais.com.br/a/sc/l/lages/lei-complementar/1997/6/59/lei-complementar-n-59-1997-cria-o-parque-ecologico-municipal-joao-jose-theodoro-da-costa-neto-e-da-outras-providencias</t>
  </si>
  <si>
    <t>Pnm Bromberg</t>
  </si>
  <si>
    <t>LM 5869/02</t>
  </si>
  <si>
    <t xml:space="preserve">Pnm Centenario </t>
  </si>
  <si>
    <t>LM 1121/2011</t>
  </si>
  <si>
    <t>Pnm São Francisco De Assis*</t>
  </si>
  <si>
    <t>LCM 99/95</t>
  </si>
  <si>
    <t>Área De Proteção Ambiental Da Represa Alto Rio Preto</t>
  </si>
  <si>
    <t>LM 1095/98</t>
  </si>
  <si>
    <t>RIO NEGRINHO (SC)</t>
  </si>
  <si>
    <t>Retificação: Lei ordinária 1755 de 09/11/2005 - Revisão dos limites: Lei ordinária 1859 de 29/11/2006</t>
  </si>
  <si>
    <t>PREFEITURA MUNICIPAL DE RIO NEGRINHO - SC</t>
  </si>
  <si>
    <t>https://leismunicipais.com.br/a/sc/r/rio-negrinho/lei-ordinaria/1998/110/1095/lei-ordinaria-n-1095-1998-cria-a-apa-area-de-protecao-ambiental-da-represa-alto-rio-preto-no-municipio-de-rio-negrinho-e-da-outras-providencias</t>
  </si>
  <si>
    <t>Área De Proteção Ambiental Do Alto Rio Turvo</t>
  </si>
  <si>
    <t>LM 2347/98</t>
  </si>
  <si>
    <t>CAMPO ALEGRE (SC)</t>
  </si>
  <si>
    <t>Retificação: Lei ordinária 2955 de 21/12/2004 - Revisão dos limites: Lei complementar 147 de 25/11/2019</t>
  </si>
  <si>
    <t>SECRETARIA MUNICIPAL DE SANEAMENTO AMBIENTAL DE CAMPO ALEGRE - SC</t>
  </si>
  <si>
    <t>https://leismunicipais.com.br/a/sc/c/campo-alegre/lei-ordinaria/1998/235/2347/lei-ordinaria-n-2347-1998-cria-area-de-protecao-ambiental-apa</t>
  </si>
  <si>
    <t>Área De Proteção Ambiental Do Rio Dos Bugres</t>
  </si>
  <si>
    <t>LM 1093/98</t>
  </si>
  <si>
    <t>Retificação: Lei ordinária 1754 de 09/11/2005 - Revisão dos limites: Lei ordinária 1852 de 07/11/2006</t>
  </si>
  <si>
    <t>https://leismunicipais.com.br/a/sc/r/rio-negrinho/lei-ordinaria/1998/110/1093/lei-ordinaria-n-1093-1998-cria-a-apa-area-de-protecao-ambiental-do-rio-dos-bugres-e-da-outras-providencias</t>
  </si>
  <si>
    <t xml:space="preserve">Área De Proteção Ambiental Do Rio Vermelho </t>
  </si>
  <si>
    <t>LM 246/98</t>
  </si>
  <si>
    <t>SÃO BENTO DO SUL (SC)</t>
  </si>
  <si>
    <t>Regulamentação: Outros 0944 de 21/12/2011</t>
  </si>
  <si>
    <t>PREFEITURA MUNICIPAL DE SÃO BENTO DO SUL - SC</t>
  </si>
  <si>
    <t>https://leismunicipais.com.br/a/sc/s/sao-bento-do-sul/lei-ordinaria/1998/25/246/lei-ordinaria-n-246-1998-cria-a-apa-area-de-protecao-ambiental-do-rio-vermelho-revoga-a-lei-n-696-96-e-da-outras-providencias</t>
  </si>
  <si>
    <t>0000.00.1080</t>
  </si>
  <si>
    <t>Reserva Particular Do Patrimônio Natural Reserva Do Caraguatá Ii</t>
  </si>
  <si>
    <t>Portaria 01/98-N - DOU S/N - 09/01/1998 - seção/pg. 01 - 167</t>
  </si>
  <si>
    <t>Pnm Claus Feldman</t>
  </si>
  <si>
    <t>LM 8993/2021</t>
  </si>
  <si>
    <t>Pnm Morro Do Macaco</t>
  </si>
  <si>
    <t>LM 113/94</t>
  </si>
  <si>
    <t>BOMBINHAS (SC)</t>
  </si>
  <si>
    <t>Pnm Costeira De Zimbros* (Era Arie)</t>
  </si>
  <si>
    <t>DM 2123/2015</t>
  </si>
  <si>
    <t>n</t>
  </si>
  <si>
    <t>Apa Do Rio Itajaí Mirim Botuverá</t>
  </si>
  <si>
    <t>DM 935/2003</t>
  </si>
  <si>
    <t>Botuverá</t>
  </si>
  <si>
    <t>Pnm Das Grutas De Botuverá</t>
  </si>
  <si>
    <t>LM 820/99</t>
  </si>
  <si>
    <t>BOTUVERÁ (SC)</t>
  </si>
  <si>
    <t>DM 2017/2017</t>
  </si>
  <si>
    <t>0000.00.1093</t>
  </si>
  <si>
    <t>Reserva Particular Do Patrimônio Natural Barra Do Rio Do Meio</t>
  </si>
  <si>
    <t>Portaria 23 - DOU Sem informação - 24/02/1999 - seção/pg. 01 - 148</t>
  </si>
  <si>
    <t>SANTA ROSA DE LIMA (SC)</t>
  </si>
  <si>
    <t>0000.00.1095</t>
  </si>
  <si>
    <t>Reserva Particular Do Patrimônio Natural Morro Das Aranhas</t>
  </si>
  <si>
    <t>Portaria 43 - DOU 89 - 12/05/1999 - seção/pg. 1/85-86</t>
  </si>
  <si>
    <t>0000.00.1082</t>
  </si>
  <si>
    <t>Reserva Particular Do Patrimônio Natural Normando Tedesco/Morro Da Aguada</t>
  </si>
  <si>
    <t>Portaria 57-N/1999 - DOU 131-E - 12/07/1999 - seção/pg. 1-17</t>
  </si>
  <si>
    <t>0000.00.1084</t>
  </si>
  <si>
    <t>Reserva Particular Do Patrimônio Natural Reserva Natural Menino Deus</t>
  </si>
  <si>
    <t>Portaria 85 - DOU 193-E - 07/10/1999 - seção/pg. 01 - 39</t>
  </si>
  <si>
    <t>Arie Do Bosque Do Guarapuvu</t>
  </si>
  <si>
    <t>DM 7849/2016</t>
  </si>
  <si>
    <t>Brusque</t>
  </si>
  <si>
    <t>Apa Morro Do Gavião</t>
  </si>
  <si>
    <t>LM 1343/99</t>
  </si>
  <si>
    <t>Camboriú</t>
  </si>
  <si>
    <t>0000.00.1088</t>
  </si>
  <si>
    <t>Reserva Particular Do Patrimônio Natural Fazenda Araucária</t>
  </si>
  <si>
    <t>Portaria 41 - DOU 154-E - 10/08/2000 - seção/pg. 01 - 81</t>
  </si>
  <si>
    <t>SÃO JOAQUIM (SC)</t>
  </si>
  <si>
    <t>0000.00.0006</t>
  </si>
  <si>
    <t>Área De Proteção Ambiental Da Baleia Franca</t>
  </si>
  <si>
    <t>Dec s/nº de 14 de setembro de 2000</t>
  </si>
  <si>
    <t>FLORIANÓPOLIS (SC) - GAROPABA (SC) - IÇARA (SC) - IMBITUBA (SC) - JAGUARUNA (SC) - LAGUNA (SC) - PALHOÇA (SC) - PAULO LOPES (SC) - TUBARÃO (SC)</t>
  </si>
  <si>
    <t>GEF Mar-Áreas Marinhas e Costeiras Protegidas</t>
  </si>
  <si>
    <t>Pnm Sylvio Garcia</t>
  </si>
  <si>
    <t>LM 3263/202</t>
  </si>
  <si>
    <t>CAMBORIÚ (SC)</t>
  </si>
  <si>
    <t>Apa Dos Campos Do Quiriri</t>
  </si>
  <si>
    <t>LM 2348/98</t>
  </si>
  <si>
    <t>Campo Alegre</t>
  </si>
  <si>
    <t>Rebio Xavier Sagmeister</t>
  </si>
  <si>
    <t>DM 87/95</t>
  </si>
  <si>
    <t>Campo Erê</t>
  </si>
  <si>
    <t>0000.00.1096</t>
  </si>
  <si>
    <t>Reserva Particular Do Patrimônio Natural Ano Bom</t>
  </si>
  <si>
    <t>Portaria 167 - DOU 219 - 16/11/2001 - seção/pg. 01 - 91 propriedade</t>
  </si>
  <si>
    <t>0000.00.1097</t>
  </si>
  <si>
    <t>Reserva Particular Do Patrimônio Natural Caetezal</t>
  </si>
  <si>
    <t>Portaria 168 - DOU 219 - 16/11/2001 - seção/pg. 1 - 91</t>
  </si>
  <si>
    <t>0000.00.1091</t>
  </si>
  <si>
    <t>Reserva Particular Do Patrimônio Natural Chácara Edith</t>
  </si>
  <si>
    <t>Portaria 158 - DOU 205 - 25/10/2001 - seção/pg. 1/122</t>
  </si>
  <si>
    <t>BRUSQUE (SC)</t>
  </si>
  <si>
    <t>0000.00.1100</t>
  </si>
  <si>
    <t>Reserva Particular Do Patrimônio Natural Do Guaxinim</t>
  </si>
  <si>
    <t>Portaria 66 - DOU 107-E - 04/06/2001 - seção/pg. 01 - 392</t>
  </si>
  <si>
    <t>SÃO JOSÉ (SC)</t>
  </si>
  <si>
    <t>0000.00.1099</t>
  </si>
  <si>
    <t>Reserva Particular Do Patrimônio Natural Gralha Azul</t>
  </si>
  <si>
    <t>Portaria 27 - DOU 82-E - 28/04/2001 - seção/pg. 01 - 83</t>
  </si>
  <si>
    <t>ÁGUA DOCE (SC)</t>
  </si>
  <si>
    <t>0000.00.1085</t>
  </si>
  <si>
    <t>Reserva Particular Do Patrimônio Natural Prima Luna</t>
  </si>
  <si>
    <t>Portaria 100 - DOU 120 - 13/09/2001 - seção/pg. 01 - 68</t>
  </si>
  <si>
    <t>NOVA TRENTO (SC)</t>
  </si>
  <si>
    <t>Apa Aeroporto De Chapecó</t>
  </si>
  <si>
    <t>LM 2570/84</t>
  </si>
  <si>
    <t>Chapecó</t>
  </si>
  <si>
    <t>Apa De Cocal Do Sul</t>
  </si>
  <si>
    <t>LM 1457/18</t>
  </si>
  <si>
    <t>Cocal do Sul</t>
  </si>
  <si>
    <t>LM 516/2002</t>
  </si>
  <si>
    <t>Apa Lagoa Do Verdinho</t>
  </si>
  <si>
    <t>LM 4276/2001</t>
  </si>
  <si>
    <t>0000.00.1092</t>
  </si>
  <si>
    <t>Reserva Particular Do Patrimônio Natural Bio Estação Águas Cristalinas</t>
  </si>
  <si>
    <t>Portaria 19 - DOU 26 - 06/02/2002 - seção/pg. 01 - 67</t>
  </si>
  <si>
    <t>0000.00.1081</t>
  </si>
  <si>
    <t>Reserva Particular Do Patrimônio Natural Emilio Fiorentino Battistella (Rota Das Cachoeiras)</t>
  </si>
  <si>
    <t xml:space="preserve">Portaria 50 - DOU 132 - 13/07/2010 - seção/pg. 1/97 </t>
  </si>
  <si>
    <t>CORUPÁ (SC)</t>
  </si>
  <si>
    <t xml:space="preserve"> Portaria 53 - DOU 75 - 19/04/2002 - seção/pg. 1/139</t>
  </si>
  <si>
    <t>0000.00.1094</t>
  </si>
  <si>
    <t>Reserva Particular Do Patrimônio Natural Morro Da Palha</t>
  </si>
  <si>
    <t>Portaria 62 - DOU 75 - 19/04/2002 - seção/pg. 01 - 140</t>
  </si>
  <si>
    <t>SÃO FRANCISCO DO SUL (SC)</t>
  </si>
  <si>
    <t>0000.00.4525</t>
  </si>
  <si>
    <t>Reserva Particular Do Patrimônio Natural Morro Dos Zimbros</t>
  </si>
  <si>
    <t xml:space="preserve">Portaria 119 - DOU 176 - 11/09/2002 - seção/pg. 1 - 176 </t>
  </si>
  <si>
    <t>PORTO BELO (SC)</t>
  </si>
  <si>
    <t>Portaria Retificação - DOU 211 - 30/10/2002 - seção/pg. 1 - 138 e Portaria Retificação - DOU 77 - 26/04/2022 - seção/pg. 1 - 63</t>
  </si>
  <si>
    <t>0000.00.1078</t>
  </si>
  <si>
    <t>Reserva Particular Do Patrimônio Natural Reserva Rio Das Furnas</t>
  </si>
  <si>
    <t>Portaria 61 - DOU 75 - 19/04/2002 - seção/pg. 01 - 140</t>
  </si>
  <si>
    <t>ALFREDO WAGNER (SC)</t>
  </si>
  <si>
    <t>Apa Rio Maina</t>
  </si>
  <si>
    <t>LM 4502/2003</t>
  </si>
  <si>
    <t>Apa Bosque Do Repouso</t>
  </si>
  <si>
    <t>LM 7605/2019</t>
  </si>
  <si>
    <t>Apa Parque Morro Cechinel</t>
  </si>
  <si>
    <t>LM 7607/2019</t>
  </si>
  <si>
    <t>V. LM 7844/21</t>
  </si>
  <si>
    <t>0000.42.0788</t>
  </si>
  <si>
    <t>Parque Estadual Das Araucárias</t>
  </si>
  <si>
    <t>DE 293/2003</t>
  </si>
  <si>
    <t>GALVÃO (SC) - SÃO DOMINGOS (SC)</t>
  </si>
  <si>
    <t>https://leisestaduais.com.br/sc/decreto-n-293-2003-santa-catarina-cria-o-parque-estadual-das-araucarias-e-da-outras-providencias</t>
  </si>
  <si>
    <t>0000.42.0789</t>
  </si>
  <si>
    <t>Parque Estadual Fritz Plaumann</t>
  </si>
  <si>
    <t>DE 797/2003</t>
  </si>
  <si>
    <t>CONCÓRDIA (SC)</t>
  </si>
  <si>
    <t>Portaria 082 de 13/10/2005</t>
  </si>
  <si>
    <t>https://leisestaduais.com.br/sc/decreto-n-797-2003-santa-catarina-cria-o-parque-estadual-fritzplaumann-e-da-outras-providencias</t>
  </si>
  <si>
    <t>Área De Relevante Interesse Ecológico Do Morro Do Boa Vista</t>
  </si>
  <si>
    <t>LM 11005/2003</t>
  </si>
  <si>
    <t>Joinville</t>
  </si>
  <si>
    <t>Decreto 11005 de 07/03/2003;  Retificação: Decreto 23533 de 11/12/2014</t>
  </si>
  <si>
    <t>https://leismunicipais.com.br/a/sc/j/joinville/decreto/2003/1101/11005/decreto-n-11005-2003-cria-a-area-de-relevante-interesse-ecologico-do-morro-do-boa-vista</t>
  </si>
  <si>
    <t>Apa Morro Da Cruz (Do Caravaggio) (N É Parque)</t>
  </si>
  <si>
    <t>LM 8630/2024</t>
  </si>
  <si>
    <t>Apa Morro Mãe Luiza</t>
  </si>
  <si>
    <t>0000.00.1101</t>
  </si>
  <si>
    <t>Reserva Particular Do Patrimônio Natural Passarim</t>
  </si>
  <si>
    <t>Portaria 21/2004-N - DOU 45 - 05/03/2004 - seção/pg. 01 - 62</t>
  </si>
  <si>
    <t>PAULO LOPES (SC)</t>
  </si>
  <si>
    <t>0000.00.0150</t>
  </si>
  <si>
    <t>Parque Nacional Da Serra Do Itajaí</t>
  </si>
  <si>
    <t>Dec s/n° de 04/06/2004</t>
  </si>
  <si>
    <t>APIÚNA (SC) - BLUMENAU (SC) - BOTUVERÁ (SC) - GASPAR (SC) - GUABIRUBA (SC) - INDAIAL (SC) - PRESIDENTE NEREU (SC) - VIDAL RAMOS (SC)</t>
  </si>
  <si>
    <t>Regulamentação: Dec s/n° de 20/06/2006</t>
  </si>
  <si>
    <t>Portaria ICMBio n.º 53 de 26/06/2009</t>
  </si>
  <si>
    <t>ato legal: https://www.gov.br/icmbio/pt-br/assuntos/biodiversidade/unidade-de-conservacao/unidades-de-biomas/mata-atlantica/lista-de-ucs/parna-da-serra-do-itajai/arquivos/PortaprovPMPARNASerradoItaja.pdf | documento do Plano de Manejo: https://www.gov.br/icmbio/pt-br/assuntos/biodiversidade/unidade-de-conservacao/unidades-de-biomas/mata-atlantica/lista-de-ucs/parna-da-serra-do-itajai/arquivos/pn_serra_do_itajai.pdf</t>
  </si>
  <si>
    <t>0000.42.0787</t>
  </si>
  <si>
    <t>Parque Estadual Rio Canoas</t>
  </si>
  <si>
    <t>DE 1871/2004</t>
  </si>
  <si>
    <t>CAMPOS NOVOS (SC)</t>
  </si>
  <si>
    <t>Outros 634956 de 24/05/2007</t>
  </si>
  <si>
    <t>https://leisestaduais.com.br/sc/decreto-n-1871-2004-santa-catarina-cria-o-parque-</t>
  </si>
  <si>
    <t>0910.42.2926</t>
  </si>
  <si>
    <t>Parque Natural Municipal Da Caieira</t>
  </si>
  <si>
    <t>DM 11734/2004</t>
  </si>
  <si>
    <t>DM 41645/2021</t>
  </si>
  <si>
    <t>https://leismunicipais.com.br/a2/sc/j/joinville/decreto/2004/1173/11734/decreto-n-11734-2004-cria-o-parque-natural-municipal-da-caieira</t>
  </si>
  <si>
    <t>Apa Morro Albino E Esteves</t>
  </si>
  <si>
    <t>LM 2459/90</t>
  </si>
  <si>
    <t>Cricíuma</t>
  </si>
  <si>
    <t>0000.00.2081</t>
  </si>
  <si>
    <t>Reserva Particular Do Patrimônio Natural Capão Redondo</t>
  </si>
  <si>
    <t>Portaria 84 - DOU 230 - 01/12/2005 - seção/pg. 1/65</t>
  </si>
  <si>
    <t>BALNEÁRIO ARROIO DO SILVA (SC)</t>
  </si>
  <si>
    <t>0000.00.1102</t>
  </si>
  <si>
    <t>Reserva Particular Do Patrimônio Natural Rio Das Lontras</t>
  </si>
  <si>
    <t xml:space="preserve">Portaria 34/2005 - DOU 84 - 04/05/2005 - seção/pg. 01 - 65 </t>
  </si>
  <si>
    <t>SÃO PEDRO DE ALCÂNTARA (SC)</t>
  </si>
  <si>
    <t>19,99ha</t>
  </si>
  <si>
    <t>Portaria 40/2009 - DOU 92 - 18/05/2009 - seção/pg. 01 - 108</t>
  </si>
  <si>
    <t>0000.00.0261</t>
  </si>
  <si>
    <t>Estação Ecológica Da Mata Preta</t>
  </si>
  <si>
    <t>Dec s/nº de 19 de outubro de 2005</t>
  </si>
  <si>
    <t>ABELARDO LUZ (SC) - CLEVELÂNDIA (PR) - PALMAS (PR)</t>
  </si>
  <si>
    <t>PR, SC</t>
  </si>
  <si>
    <t>Não Possui</t>
  </si>
  <si>
    <t>0000.00.0262</t>
  </si>
  <si>
    <t>Parque Nacional Das Araucárias</t>
  </si>
  <si>
    <t>Dec s/n° de 19/10/2005</t>
  </si>
  <si>
    <t>PASSOS MAIA (SC) - PONTE SERRADA (SC)</t>
  </si>
  <si>
    <t>Portaria 109 de 15/10/2010</t>
  </si>
  <si>
    <t>ato legal: http://www.icmbio.gov.br/portal/biodiversidade/unidades-de-conservacao/biomas-brasileiros/mata-atlantica/unidades-de-conservacao-mata-atlantica/2199-parna-das-araucarias.html | documento do Plano de Manejo: Sem informação.</t>
  </si>
  <si>
    <t>0000.42.0791</t>
  </si>
  <si>
    <t>Parque Estadual Acarai</t>
  </si>
  <si>
    <t>DE 3517/2005</t>
  </si>
  <si>
    <t>Portaria 186/2014 de 02/10/2015</t>
  </si>
  <si>
    <t>https://leisestaduais.com.br/sc/decreto-n-3517-2005-santa-catarina-cria-o-parque-estadual-acarai-e-da-outras-providencias</t>
  </si>
  <si>
    <t>Apa Morro Do Casagrande (Do Céu)</t>
  </si>
  <si>
    <t>Corredor Ecológico Caminho Das Nascentes</t>
  </si>
  <si>
    <t>DE 2367/22</t>
  </si>
  <si>
    <t>cumeada Serra Geral e Serra do Mar</t>
  </si>
  <si>
    <t>0820.42.1866</t>
  </si>
  <si>
    <t>Parque Natural Municipal Ilha Das Capivaras/Sibara</t>
  </si>
  <si>
    <t>DM 7954/2006</t>
  </si>
  <si>
    <t>Retificação: Decreto 9827 de 17/10/2012</t>
  </si>
  <si>
    <t>EM ELABORAÇÃO</t>
  </si>
  <si>
    <t>https://leismunicipais.com.br/a/sc/i/itajai/decreto/2006/796/7954/decreto-n-7954-2006-cria-unidade-de-conservacao-de-protecao-integral</t>
  </si>
  <si>
    <t>1040.42.4195</t>
  </si>
  <si>
    <t>Parque Natural Municipal Maracajá</t>
  </si>
  <si>
    <t>DM 127/2006</t>
  </si>
  <si>
    <t>MARACAJÁ (SC)</t>
  </si>
  <si>
    <t>PREFEITURA MUNICIPAL DE MARACAJÁ - SC</t>
  </si>
  <si>
    <t>não foi encontrada a lei online, apenas menções a ela</t>
  </si>
  <si>
    <t>Rebio Municipal Dionísio Cerqueira</t>
  </si>
  <si>
    <t>não encontrada</t>
  </si>
  <si>
    <t>Dionisio Cerqueira</t>
  </si>
  <si>
    <t>https://www.gov.br/icmbio/pt-br/assuntos/biodiversidade/unidade-de-conservacao/unidades-de-biomas/mata-atlantica/lista-de-ucs/parna-da-serra-geral/arquivos/DCOM_pm_Parna_de_Aparados_da_Serra_Encarte_1.pdf</t>
  </si>
  <si>
    <t>0000.42.1844</t>
  </si>
  <si>
    <t>Parque Estadual Do Rio Vermelho</t>
  </si>
  <si>
    <t>DE 308/2007</t>
  </si>
  <si>
    <t>http://server03.pge.sc.gov.br/legislacaoestadual/2007/000308-005-0-2007-003.htm</t>
  </si>
  <si>
    <t>0210.42.3688</t>
  </si>
  <si>
    <t>Parque Natural Municipal Caminho Do Peabiru</t>
  </si>
  <si>
    <t>DM 428/2007</t>
  </si>
  <si>
    <t>BARRA VELHA (SC)</t>
  </si>
  <si>
    <t>Redução: Lei ordinária 1642 de 13/12/2017; DM 2163/2025</t>
  </si>
  <si>
    <t>FUNDAÇÃO MUNICIPAL DO MEIO AMBIENTE DE BARRA VELHA - SC</t>
  </si>
  <si>
    <t>https://leismunicipais.com.br/a/sc/b/barra-velha/decreto/2025/217/2163/decreto-n-2163-2025-reedita-o-decreto-n-428-de-19-de-junho-de-2007-que-criou-o-parque-natural-municipal-caminho-do-peabiru-e-da-outras-providencias</t>
  </si>
  <si>
    <t>0820.42.1906</t>
  </si>
  <si>
    <t>Parque Natural Municipal Do Atalaia</t>
  </si>
  <si>
    <t>DM 8107/2007</t>
  </si>
  <si>
    <t>https://leismunicipais.com.br/a/sc/i/itajai/decreto/2007/811/8107/decreto-n-8107-2007-dispoe-sobre-a-criacao-e-instalacao-do-parque-natural-municipal-do-atalaia</t>
  </si>
  <si>
    <t>Pnm Dos Ingleses E Cachoeira (Projeto De Lei)</t>
  </si>
  <si>
    <t>PLM 12343/2007</t>
  </si>
  <si>
    <t>Área De Proteção Ambiental Da Ponta Do Araçá</t>
  </si>
  <si>
    <t>DM 395/2008</t>
  </si>
  <si>
    <t>FUNDAÇÃO MUNICIPAL DO MEIO AMBIENTE DE PORTO BELO - SC</t>
  </si>
  <si>
    <t>https://leismunicipais.com.br/a/sc/p/porto-belo/decreto/2008/39/395/decreto-n-395-2008-cria-a-area-de-protecao-ambiental-apa-da-ponta-do-araca-e-da-outras-providencias</t>
  </si>
  <si>
    <t>0000.00.2091</t>
  </si>
  <si>
    <t>Reserva Particular Do Patrimônio Natural Curucaca 4</t>
  </si>
  <si>
    <t>Portaria 25 - DOU 86 - 07/05/2008 - seção/pg. 01 - 75</t>
  </si>
  <si>
    <t>BOM RETIRO (SC)</t>
  </si>
  <si>
    <t>0000.00.2099</t>
  </si>
  <si>
    <t>Reserva Particular Do Patrimônio Natural Emilio Einsfeld Filho</t>
  </si>
  <si>
    <t>Portaria 74 - DOU 176 - 11/09/2008 - seção/pg. 01 - 101</t>
  </si>
  <si>
    <t>CAMPO BELO DO SUL (SC)</t>
  </si>
  <si>
    <t>0000.00.2180</t>
  </si>
  <si>
    <t>Reserva Particular Do Patrimônio Natural Reserva Leão Da Montanha</t>
  </si>
  <si>
    <t>Portaria 34 - DOU 97 - 23/05/2008 - seção/pg. 01 126</t>
  </si>
  <si>
    <t>URUBICI (SC)</t>
  </si>
  <si>
    <t>0000.00.2210</t>
  </si>
  <si>
    <t>Reserva Particular Do Patrimônio Natural Santuário Rã-Bugio I</t>
  </si>
  <si>
    <t>Portaria 02 - DOU 24 - 06/02/2008 - seção/pg. 01 - 62 e 63</t>
  </si>
  <si>
    <t>GUARAMIRIM (SC)</t>
  </si>
  <si>
    <t>0000.00.2211</t>
  </si>
  <si>
    <t>Reserva Particular Do Patrimônio Natural Santuário Rã-Bugio Ii</t>
  </si>
  <si>
    <t>Portaria 16 - DOU 54 - 19/03/2008 - seção/pg. 1 - 144</t>
  </si>
  <si>
    <t>0000.00.2229</t>
  </si>
  <si>
    <t>Reserva Particular Do Patrimônio Natural Vale Das Pedras</t>
  </si>
  <si>
    <t>Portaria 92 - DOU 227 - 21/11/2008 - seção/pg. 01 - 114</t>
  </si>
  <si>
    <t>0460.42.1913</t>
  </si>
  <si>
    <t>Parque Natural Municipal Morro Do Céu</t>
  </si>
  <si>
    <t>LM 5207/2008</t>
  </si>
  <si>
    <t>CRICIÚMA (SC)</t>
  </si>
  <si>
    <t>FUNDAÇÃO DO MEIO AMBIENTE DE CRICIÚMA - SC</t>
  </si>
  <si>
    <t>https://leismunicipais.com.br/a1/sc/c/criciuma/lei-ordinaria/2008/520/5207/lei-ordinaria-n-5207-2008-cria-o-parque-municipal-do-morro-do-ceu-da-outras-providencias</t>
  </si>
  <si>
    <t>Apa Do Quiriri</t>
  </si>
  <si>
    <t>LCM 146/2024</t>
  </si>
  <si>
    <t>Garuva</t>
  </si>
  <si>
    <t>Apa Do Rio Bateias</t>
  </si>
  <si>
    <t>LM 168/2000</t>
  </si>
  <si>
    <t>Gaspar</t>
  </si>
  <si>
    <t>0000.00.2085</t>
  </si>
  <si>
    <t>Reserva Particular Do Patrimônio Natural Corredeiras Do Rio Itajaí</t>
  </si>
  <si>
    <t>Portaria 77/2009 - DOU 170 - 04/09/2009 - seção/pg. 01 - 235</t>
  </si>
  <si>
    <t>ITAIÓPOLIS (SC)</t>
  </si>
  <si>
    <t>0000.00.2088</t>
  </si>
  <si>
    <t>Reserva Particular Do Patrimônio Natural Curucaca 1</t>
  </si>
  <si>
    <t>Portaria 14/2009 - DOU 53 - 19/03/2009 - seção/pg. 01 - 65</t>
  </si>
  <si>
    <t>0000.00.2089</t>
  </si>
  <si>
    <t>Reserva Particular Do Patrimônio Natural Curucaca 2</t>
  </si>
  <si>
    <t>Portaria 12 - DOU 53 - 19/03/2009 - seção/pg. 1 - 65</t>
  </si>
  <si>
    <t>0000.00.2090</t>
  </si>
  <si>
    <t>Reserva Particular Do Patrimônio Natural Curucaca 3</t>
  </si>
  <si>
    <t>Portaria 15 - DOU 53 - 19/03/2009 - seção/pg. 01 - 66</t>
  </si>
  <si>
    <t>0000.00.2112</t>
  </si>
  <si>
    <t>Reserva Particular Do Patrimônio Natural Fazenda Santa Terezinha</t>
  </si>
  <si>
    <t>Portaria 19 - DOU 58 - 26/03/2009 - seção/pg. 01 - 58</t>
  </si>
  <si>
    <t>0000.00.2117</t>
  </si>
  <si>
    <t>Reserva Particular Do Patrimônio Natural Grutinha</t>
  </si>
  <si>
    <t>Portaria 05/2009 - DOU 31 - 13/02/2009 - seção/pg. 01 - 72</t>
  </si>
  <si>
    <t>0000.00.2151</t>
  </si>
  <si>
    <t>Reserva Particular Do Patrimônio Natural Pedra Da Águia</t>
  </si>
  <si>
    <t>Portaria 23 - DOU 80 - 29/04/2009 - seção/pg. 01 - 83</t>
  </si>
  <si>
    <t>0000.00.2193</t>
  </si>
  <si>
    <t>Reserva Particular Do Patrimônio Natural Retiro Tun</t>
  </si>
  <si>
    <t>Portaria 44 - DOU 106 - 05/06/2009 - seção/pg. 01 - 165</t>
  </si>
  <si>
    <t>RANCHO QUEIMADO (SC)</t>
  </si>
  <si>
    <t>0000.00.2217</t>
  </si>
  <si>
    <t>Reserva Particular Do Patrimônio Natural Taipa Do Rio Itajaí</t>
  </si>
  <si>
    <t>Portaria 75 - DOU 170 - 04/09/2009 - seção/pg. 01 - 234</t>
  </si>
  <si>
    <t>Pnm Dos Bugios</t>
  </si>
  <si>
    <t>DM 10465/2022</t>
  </si>
  <si>
    <t>GASPAR (SC)</t>
  </si>
  <si>
    <t>0000.42.3962</t>
  </si>
  <si>
    <t>Área De Proteção Ambiental Da Vargem Do Braço</t>
  </si>
  <si>
    <t>LO 14661/2009</t>
  </si>
  <si>
    <t>SANTO AMARO DA IMPERATRIZ (SC)</t>
  </si>
  <si>
    <t>0000.42.3963</t>
  </si>
  <si>
    <t>Área De Proteção Ambiental Do Entorno Costeiro</t>
  </si>
  <si>
    <t>FLORIANÓPOLIS (SC) - GAROPABA (SC) - PALHOÇA (SC) - PAULO LOPES (SC)</t>
  </si>
  <si>
    <r>
      <t xml:space="preserve">fonte: </t>
    </r>
    <r>
      <rPr>
        <b/>
        <sz val="11"/>
        <color rgb="FF000000"/>
        <rFont val="Calibri"/>
        <scheme val="minor"/>
      </rPr>
      <t xml:space="preserve">https://www.icmbio.gov.br/rebioarvoredo/images/stories/plano_manejo/REBIO_Arvoredo_Plano_Manejo_Encarte_1.pdf </t>
    </r>
    <r>
      <rPr>
        <sz val="11"/>
        <color rgb="FF000000"/>
        <rFont val="Calibri"/>
        <scheme val="minor"/>
      </rPr>
      <t xml:space="preserve">página  36 e </t>
    </r>
    <r>
      <rPr>
        <b/>
        <sz val="11"/>
        <color rgb="FF000000"/>
        <rFont val="Calibri"/>
        <scheme val="minor"/>
      </rPr>
      <t>https://repositorio.ufsc.br/bitstream/handle/123456789/87978/206046.pdf?sequence=1&amp;isAllowed=y</t>
    </r>
    <r>
      <rPr>
        <sz val="11"/>
        <color rgb="FF000000"/>
        <rFont val="Calibri"/>
        <scheme val="minor"/>
      </rPr>
      <t xml:space="preserve"> p. 12</t>
    </r>
  </si>
  <si>
    <t>0000.00.2154</t>
  </si>
  <si>
    <t>Reserva Particular Do Patrimônio Natural Portal Das Nascentes</t>
  </si>
  <si>
    <t>Portaria 09 - DOU 19 - 28/01/2010 - seção/pg. 01 - 68</t>
  </si>
  <si>
    <t>0000.00.2155</t>
  </si>
  <si>
    <t>Reserva Particular Do Patrimônio Natural Porto Franco</t>
  </si>
  <si>
    <t>Portaria 73 - DOU 167 - 31/08/2010 - seção/pg. 1/137</t>
  </si>
  <si>
    <t>0000.00.2160</t>
  </si>
  <si>
    <t>Reserva Particular Do Patrimônio Natural Refúgio Do Macuco</t>
  </si>
  <si>
    <t>Portaria 60 - DOU 144 - 29/07/2010 - seção/pg. 01 - 60</t>
  </si>
  <si>
    <t>0000.00.2214</t>
  </si>
  <si>
    <t>Reserva Particular Do Patrimônio Natural Serra Do Lucindo</t>
  </si>
  <si>
    <t>Portaria 72 - DOU 167 - 31/08/2010 - seção/pg. 1/137</t>
  </si>
  <si>
    <t>BELA VISTA DO TOLDO (SC)</t>
  </si>
  <si>
    <t>0000.00.2218</t>
  </si>
  <si>
    <t>Reserva Particular Do Patrimônio Natural Taipa Rio Do Couro</t>
  </si>
  <si>
    <t>Portaria 56 - DOU 142 - 27/07/2010 - seção/pg. 01 - 60</t>
  </si>
  <si>
    <t>Revis Campos De Palmas (Pr/Sc)</t>
  </si>
  <si>
    <t>Refúgio da Vida Silvestre</t>
  </si>
  <si>
    <t>Dec. s/nº de 03 de abr. de 2006</t>
  </si>
  <si>
    <t>General Carneiro/ Palmas</t>
  </si>
  <si>
    <t>Pnm Vereador Érico Vicentini</t>
  </si>
  <si>
    <t>LM 1892/24</t>
  </si>
  <si>
    <t>GUABIRUBA (SC)</t>
  </si>
  <si>
    <t>https://omunicipio.com.br/trilhas-dentro-da-area-do-parque-municipal-de-guabiruba-comecam-ser-sinalizadas/</t>
  </si>
  <si>
    <t>1920.42.2261</t>
  </si>
  <si>
    <t>Parque Natural Municipal Chapéu Das Águas</t>
  </si>
  <si>
    <t>LM 1753/2010</t>
  </si>
  <si>
    <t>VIDAL RAMOS (SC)</t>
  </si>
  <si>
    <t>S/INFO</t>
  </si>
  <si>
    <t>FUNDAÇÃO MUNICIPAL DO MEIO AMBIENTE DE VIDAL RAMOS - SC</t>
  </si>
  <si>
    <t>https://leismunicipais.com.br/a/sc/v/vidal-ramos/lei-ordinaria/2010/175/1753/lei-ordinaria-n-1753-2010-cria-o-parque-natural-municipal-chapeu-das-aguas-no-municipio-de-vidal-ramos-estado-de-santa-catarina-e-da-outras-providencias</t>
  </si>
  <si>
    <t>0000.00.2094</t>
  </si>
  <si>
    <t>Reserva Particular Do Patrimônio Natural Das Araucárias Gigantes</t>
  </si>
  <si>
    <t>Portaria 17 - DOU 40 - 25/02/2011 - seção/pg. 01 - 84</t>
  </si>
  <si>
    <t>0000.00.2711</t>
  </si>
  <si>
    <t>Reserva Particular Do Patrimônio Natural Grande Floresta Das Araucárias</t>
  </si>
  <si>
    <t>Portaria 78 - DOU 188 - 29/09/2011 - seção/pg. 01 - 100</t>
  </si>
  <si>
    <t>0000.00.2739</t>
  </si>
  <si>
    <t>Reserva Particular Do Patrimônio Natural Portal Das Nascentes Ii</t>
  </si>
  <si>
    <t>Portaria 90 - DOU 217 - 11/11/2011 - seção/pg. 1 - 118</t>
  </si>
  <si>
    <t>0000.42.2876</t>
  </si>
  <si>
    <t>Reserva Particular Do Patrimonio Natural Estadual Rio Da Prata Bugio</t>
  </si>
  <si>
    <t>Portaria IMA 237/2011</t>
  </si>
  <si>
    <t>ANITÁPOLIS (SC)</t>
  </si>
  <si>
    <t>Portaria 168/2019</t>
  </si>
  <si>
    <t>https://www.ima.sc.gov.br/index.php/biodiversidade/unidades-de-conservacao/parque-estadual-da-serra-furada/71-biodiversidade/biodiversidade/rppn</t>
  </si>
  <si>
    <t>0845.42.2049</t>
  </si>
  <si>
    <t>Parque Natural Municipal Carijós</t>
  </si>
  <si>
    <t>LM 330/2011</t>
  </si>
  <si>
    <t>SECRETARIA DE MEIO AMBIENTE DE ITAPOÁ - SC</t>
  </si>
  <si>
    <t>https://sapl.itapoa.sc.leg.br/ta/1989/text?</t>
  </si>
  <si>
    <t>1130.42.2359</t>
  </si>
  <si>
    <t>Parque Natural Municipal De Navegantes</t>
  </si>
  <si>
    <t>LCM 117/2011</t>
  </si>
  <si>
    <t>NAVEGANTES (SC)</t>
  </si>
  <si>
    <t>FUNDAÇÃO MUNICIPAL DO MEIO AMBIENTE DE NAVEGANTES - SC</t>
  </si>
  <si>
    <t>https://leismunicipais.com.br/a/sc/n/navegantes/lei-complementar/2011/12/117/lei-complementar-n-117-2011-cria-o-parque-natural-municipal-de-navegantes-e-da-outras-providencias</t>
  </si>
  <si>
    <t>1820.42.2340</t>
  </si>
  <si>
    <t>Parque Natural Municipal Freymund Germer (Morro Azul)</t>
  </si>
  <si>
    <t>LCM 402/2011</t>
  </si>
  <si>
    <t>TIMBÓ (SC)</t>
  </si>
  <si>
    <t>PREFEITURA MUNICIPAL DE TIMBÓ - SC</t>
  </si>
  <si>
    <t>https://leismunicipais.com.br/a/sc/t/timbo/lei-complementar/2011/41/402/lei-complementar-n-402-2011-cria-o-parque-natural-municipal-freymund-germer-morro-azul</t>
  </si>
  <si>
    <t>https://www.turismotimbo.com.br/o-que-fazer/parques-e-pracas</t>
  </si>
  <si>
    <t>Apa De Içara</t>
  </si>
  <si>
    <t>LM 2019/2004</t>
  </si>
  <si>
    <t>Içara</t>
  </si>
  <si>
    <t>Rebio Praia Do Rosa</t>
  </si>
  <si>
    <t>Imbituba</t>
  </si>
  <si>
    <t>Área De Relevante Interesse Ecológico Do Morro Do Iririú</t>
  </si>
  <si>
    <t>DM 19665/2012</t>
  </si>
  <si>
    <t>https://leismunicipais.com.br/a/sc/j/joinville/decreto/2012/1967/19665/decreto-n-19665-2012-cria-a-area-de-relevante-interesse-ecologico-do-morro-do-iririu</t>
  </si>
  <si>
    <t>0000.00.2715</t>
  </si>
  <si>
    <t>Reserva Particular Do Patrimônio Natural Corredeiras Do Rio Itajai Ii</t>
  </si>
  <si>
    <t>Portaria 78 - DOU 129 - 05/07/2012 - seção/pg. 1 - 96</t>
  </si>
  <si>
    <t>0000.00.3103</t>
  </si>
  <si>
    <t>Reserva Particular Do Patrimônio Natural Corvo Branco</t>
  </si>
  <si>
    <t>Portaria 120 - DOU 217 - 09/11/2012 - seção/pg. 1 - 82</t>
  </si>
  <si>
    <t>0000.00.2719</t>
  </si>
  <si>
    <t>Reserva Particular Do Patrimônio Natural Florescer</t>
  </si>
  <si>
    <t>Portaria 79 - DOU 130 - 06/07/2012 - seção/pg. 01 - 87 e
Portaria 79 - DOU 130 - 06/07/2012 - seção/pg. 01 - 88 e
Portaria 79 - DOU 130 - 06/07/2012 - seção/pg. 01 - 89 e</t>
  </si>
  <si>
    <t>0000.00.3101</t>
  </si>
  <si>
    <t>Reserva Particular Do Patrimônio Natural Odir Zanelatto</t>
  </si>
  <si>
    <t>Portaria 103 - DOU 179 - 14/09/2012 - seção/pg. 01 - 102</t>
  </si>
  <si>
    <t>0000.00.2716</t>
  </si>
  <si>
    <t>Reserva Particular Do Patrimônio Natural Passarim Ii</t>
  </si>
  <si>
    <t>Portaria 6 - DOU 10 - 13/01/2012 - seção/pg. 1 - 55</t>
  </si>
  <si>
    <t>0000.00.3102</t>
  </si>
  <si>
    <t>Reserva Particular Do Patrimônio Natural Portal Água Branca</t>
  </si>
  <si>
    <t>Portaria 98 - DOU 175 - 10/09/2012 - seção/pg. 01 - 71</t>
  </si>
  <si>
    <t>0000.00.2714</t>
  </si>
  <si>
    <t>Reserva Particular Do Patrimônio Natural Raso Do Mandi</t>
  </si>
  <si>
    <t>Portaria 77 - DOU 123 - 27/07/2012 - seção/pg. 1 - 60</t>
  </si>
  <si>
    <t>0000.42.3210</t>
  </si>
  <si>
    <t>Reserva Particular Do Patrimônio Natural Estadual Pedra Branca</t>
  </si>
  <si>
    <t>Portaria IMA 179/2012</t>
  </si>
  <si>
    <t>Portaria 092/2017</t>
  </si>
  <si>
    <t>0000.42.3212</t>
  </si>
  <si>
    <t>Reserva Particular Do Patrimonio Natural Estadual Reserva De Fontes E Verdes</t>
  </si>
  <si>
    <t>Portaria IMA 88/2012</t>
  </si>
  <si>
    <t>JARAGUÁ DO SUL (SC) - RIO DOS CEDROS (SC)</t>
  </si>
  <si>
    <t>Portaria 071/2017 de 12/05/2017</t>
  </si>
  <si>
    <t>0830.42.3770</t>
  </si>
  <si>
    <t>Refúgio De Vida Silvestre De Itapema</t>
  </si>
  <si>
    <t>DM 87/2012</t>
  </si>
  <si>
    <t>ITAPEMA (SC)</t>
  </si>
  <si>
    <t>Corrige erro no DM 87/2012: LM 3927/2019;Deliberação: Portaria 13/2021 de 14/10/2021; Critérios compensação ambiental na REVIS: DM 120/2023; Criação fundo patrimonial REVIS:  LM 4655/2025</t>
  </si>
  <si>
    <t>FUNDAÇÃO AMBIENTAL ÁREA COSTEIRA DE ITAPEMA - SC</t>
  </si>
  <si>
    <t>https://leismunicipais.com.br/a/sc/i/itapema/decreto/2012/9/87/decreto-n-87-2012-cria-o-refugio-de-vida-silvestre-do-municipio-de-itapema-e-da-outras-providencias</t>
  </si>
  <si>
    <t>0000.00.3098</t>
  </si>
  <si>
    <t>Reserva Particular Do Patrimônio Natural Amplus Lucidus</t>
  </si>
  <si>
    <t>Portaria 218 - DOU 152 - 08/08/2013 - seção/pg. 1 - 73</t>
  </si>
  <si>
    <t>ÁGUAS MORNAS (SC)</t>
  </si>
  <si>
    <t>0000.00.3100</t>
  </si>
  <si>
    <t>Reserva Particular Do Patrimônio Natural Canto Da Araponga</t>
  </si>
  <si>
    <t>Portaria 149 - DOU 34 - 20/02/2013 - seção/pg. 1 - 97</t>
  </si>
  <si>
    <t>0000.00.3099</t>
  </si>
  <si>
    <t>Reserva Particular Do Patrimônio Natural Reserva Rio Das Furnas Ii</t>
  </si>
  <si>
    <t>Portaria 168 - DOU 47 - 11/03/2013 - seção/pg. 1 - 95</t>
  </si>
  <si>
    <t>0540.42.3029</t>
  </si>
  <si>
    <t>Parque Natural Municipal Do Morro Da Cruz</t>
  </si>
  <si>
    <t>LM 9321/2013</t>
  </si>
  <si>
    <t>https://leismunicipais.com.br/a/sc/f/florianopolis/lei-ordinaria/2013/933/9321/lei-ordinaria-n-9321-2013-cria-o-parque-natural-municipal-do-morro-da-cruz-da-outras-providencias-e-revoga-a-lei-n-6893-de-2005</t>
  </si>
  <si>
    <t>0000.00.4531</t>
  </si>
  <si>
    <t>Reserva Particular Do Patrimônio Natural Pinheirinho 23</t>
  </si>
  <si>
    <t>Portaria 95 - DOU 177 - 15/09/2014 - seção/pg. 1 - pg 01</t>
  </si>
  <si>
    <t>0000.00.4524</t>
  </si>
  <si>
    <t>Reserva Particular Do Patrimônio Natural Prima Luna I</t>
  </si>
  <si>
    <t>Portaria 88 - DOU 160 - 21/08/2014 - seção/pg. 1 - 52</t>
  </si>
  <si>
    <t>0000.00.4482</t>
  </si>
  <si>
    <t>Reserva Particular Do Patrimônio Natural Rancho De Luar</t>
  </si>
  <si>
    <t>Portaria 96 - DOU 177 - 15/09/2014 - seção/pg. 1 - pg 153</t>
  </si>
  <si>
    <t>GUARUJÁ DO SUL (SC)</t>
  </si>
  <si>
    <t>0000.42.3960</t>
  </si>
  <si>
    <t>Reserva Particular Do Patrimônio Natural Estadual Complexo Serra Da Farofa</t>
  </si>
  <si>
    <t>Portaria IMA 026/2014</t>
  </si>
  <si>
    <t>BOCAINA DO SUL (SC) - PAINEL (SC) - RIO RUFINO (SC) - URUBICI (SC) - URUPEMA (SC)</t>
  </si>
  <si>
    <t>Portaria 209/2022</t>
  </si>
  <si>
    <t>0000.42.3211</t>
  </si>
  <si>
    <t>Reserva Particular Do Patrimonio Natural Estadual Das Cascatas</t>
  </si>
  <si>
    <t>Portaria IMA 137/2014</t>
  </si>
  <si>
    <t>Pnm Trilha Dos Bugres</t>
  </si>
  <si>
    <t>DM 44/2008</t>
  </si>
  <si>
    <t>IMBUIA (SC)</t>
  </si>
  <si>
    <t>0000.00.4515</t>
  </si>
  <si>
    <t>Reserva Particular Do Patrimônio Natural Reserva Heinz Bahr</t>
  </si>
  <si>
    <t>Portaria 55 - DOU 241 - 17/12/2015 - seção/pg. 1 - 61</t>
  </si>
  <si>
    <t>0000.42.3956</t>
  </si>
  <si>
    <t>Reserva Particular Do Patrimônio Natural Estadual Rio Bonito</t>
  </si>
  <si>
    <t>Portaria IMA 326/2015</t>
  </si>
  <si>
    <t>PORTO UNIÃO (SC)</t>
  </si>
  <si>
    <t>0000.42.3955</t>
  </si>
  <si>
    <t>Reserva Particular Do Patrimônio Natural Estadual Rio Dos Pardos</t>
  </si>
  <si>
    <t>Portaria IMA 232/2015</t>
  </si>
  <si>
    <t>1350.42.3626</t>
  </si>
  <si>
    <t>Parque Natural Municipal Da Lagoa Do Perequê</t>
  </si>
  <si>
    <t>DM 1380/2015</t>
  </si>
  <si>
    <t>https://leismunicipais.com.br/a/sc/p/porto-belo/decreto/2015/138/1380/decreto-n-1380-2015-dispoe-sobre-a-criacao-do-parque-natural-municipal-da-lagoa-do-pereque-e-da-outras-providencias</t>
  </si>
  <si>
    <t>0890.42.3401</t>
  </si>
  <si>
    <t>Parque Natural Municipal Morro Dos Stinghen</t>
  </si>
  <si>
    <t>LM 7180/2015</t>
  </si>
  <si>
    <t>JARAGUÁ DO SUL (SC)</t>
  </si>
  <si>
    <t>LM 7217/2016</t>
  </si>
  <si>
    <t>FUNDAÇÃO JARAGUAENSE DE MEIO AMBIENTE - SC</t>
  </si>
  <si>
    <t>https://leismunicipais.com.br/a/sc/j/jaragua-do-sul/lei-ordinaria/2015/718/7180/lei-ordinaria-n-7180-2015-cria-o-parque-natural-municipal-morro-dos-stinghen-no-municipio-de-jaragua-do-sul-estado-de-santa-catarina-e-da-outras-providencias</t>
  </si>
  <si>
    <t>Rebio De Irineopolis - Existe? Está Integrada À Rbma?</t>
  </si>
  <si>
    <t>Irineópolis</t>
  </si>
  <si>
    <t>Apa Saco Da Fazenda</t>
  </si>
  <si>
    <t>DM 8513/2008</t>
  </si>
  <si>
    <t>Itajaí</t>
  </si>
  <si>
    <t>Apa Orla De Itajaí</t>
  </si>
  <si>
    <t>DM 13023/2023</t>
  </si>
  <si>
    <t>0000.00.3670</t>
  </si>
  <si>
    <t>Reserva Particular Do Patrimônio Natural Jorge Luiz Orsi</t>
  </si>
  <si>
    <t>Portaria 54 - DOU 99 - 25/05/2016 - seção/pg. 1 - 48</t>
  </si>
  <si>
    <t>0000.00.3672</t>
  </si>
  <si>
    <t>Reserva Particular Do Patrimônio Natural Raso Do Mandi Ii</t>
  </si>
  <si>
    <t xml:space="preserve">Portaria 27 - DOU 75 - 20/04/2016 - seção/pg. 1 - 67 e 68
</t>
  </si>
  <si>
    <t>0000.00.3683</t>
  </si>
  <si>
    <t>Reserva Particular Do Patrimônio Natural Rio Vermelho</t>
  </si>
  <si>
    <t>Portaria 52 - DOU 99 - 25/05/2016 - seção/pg. 1 - 48</t>
  </si>
  <si>
    <t>0000.42.3958</t>
  </si>
  <si>
    <t>Reserva Particular Do Patrimônio Natural Estadual Jardim Das Colinas</t>
  </si>
  <si>
    <t>Portaria IMA 264/2016</t>
  </si>
  <si>
    <t>LEOBERTO LEAL (SC)</t>
  </si>
  <si>
    <t>0540.42.3430</t>
  </si>
  <si>
    <t>Parque Natural Municipal Lagoa Do Jacaré Das Dunas Do Santinho</t>
  </si>
  <si>
    <t>LM 9.948/2016</t>
  </si>
  <si>
    <t>https://leismunicipais.com.br/a/sc/f/florianopolis/lei-ordinaria/2016/995/9948/lei-ordinaria-n-9948-2016-dispoe-sobre-a-criacao-da-unidade-de-conservacao-parque-natural-municipal-lagoa-do-jacare-das-dunas-do-santinho#:~:text=%C2%A7%201%C2%BA%20O%20Parque%20Natural,o%20que%20disp%C3%B5e%20a%20Lei.</t>
  </si>
  <si>
    <t>Pnm Da Ressacada</t>
  </si>
  <si>
    <t>DM n° 2.824/1982</t>
  </si>
  <si>
    <t>Pnm Cordeiros</t>
  </si>
  <si>
    <t>DM 8297/2007</t>
  </si>
  <si>
    <t>LM 5195/2008/ LM 5301/2009</t>
  </si>
  <si>
    <t>0000.00.3673</t>
  </si>
  <si>
    <t>Reserva Particular Do Patrimônio Natural Jardim Dos Beija-Flores</t>
  </si>
  <si>
    <t>Portaria 497 - DOU 144 - 28/07/2017 - seção/pg. 1 - 78</t>
  </si>
  <si>
    <t>0000.42.3959</t>
  </si>
  <si>
    <t>Reserva Particular Do Patrimônio Natural Estadual Reserva Ambiental S. Santos</t>
  </si>
  <si>
    <t>Portaria IMA 109/2012</t>
  </si>
  <si>
    <t>0000.42.3516</t>
  </si>
  <si>
    <t>Reserva Particular Do Patrimônio Natural Estadual Cb - Cartonagem Batistense</t>
  </si>
  <si>
    <t>Portaria IMA 069/2017</t>
  </si>
  <si>
    <t>0230.42.3536</t>
  </si>
  <si>
    <t>Parque Natural Municipal Serra De São Miguel</t>
  </si>
  <si>
    <t>LM 3752/2017</t>
  </si>
  <si>
    <t>BIGUAÇU (SC)</t>
  </si>
  <si>
    <t>Anexa área doada ao parque: DM 50/2023; Aprova plano de manejo: DM 184/2024</t>
  </si>
  <si>
    <t>FUNDAÇÃO MUNICIPAL DE MEIO AMBIENTE DE BIGUAÇU - SC</t>
  </si>
  <si>
    <t>https://leismunicipais.com.br/a/sc/b/biguacu/lei-ordinaria/2017/376/3752/lei-ordinaria-n-3752-2017-cria-o-parque-natural-municipal-serra-de-sao-miguel-no-municipio-de-biguacu-estado-de-santa-catarina-e-da-outras-providencias</t>
  </si>
  <si>
    <t>https://s3cache.dom.sc.gov.br/atos/2024/08/1723497564_plano_de_manejo_pnm_sao_miguel_encarte_1_versao_digital.pdf</t>
  </si>
  <si>
    <t>Apa De Itapoá</t>
  </si>
  <si>
    <t>DM 5550/22</t>
  </si>
  <si>
    <t>Itapoá</t>
  </si>
  <si>
    <t>Rppn  Engelmann</t>
  </si>
  <si>
    <t>DM 2299/2022</t>
  </si>
  <si>
    <t>JABORÁ (SC)</t>
  </si>
  <si>
    <t>DM 2310/2022</t>
  </si>
  <si>
    <t xml:space="preserve">Pnm Do Vale Do Rio Do Peixe </t>
  </si>
  <si>
    <t>LM 2800/2022</t>
  </si>
  <si>
    <t>JOAÇABA (SC)</t>
  </si>
  <si>
    <t xml:space="preserve"> Extinção da UC: LM 5127/2017</t>
  </si>
  <si>
    <t>0000.00.3660</t>
  </si>
  <si>
    <t>Reserva Particular Do Patrimônio Natural Brava Beach Internacional</t>
  </si>
  <si>
    <t>Portaria 276 - DOU 66 - 06/04/2018 - seção/pg. 1 - 174</t>
  </si>
  <si>
    <t>0000.00.3662</t>
  </si>
  <si>
    <t>Reserva Particular Do Patrimônio Natural Papagaios-De-Altitude</t>
  </si>
  <si>
    <t>Portaria 148 - DOU 37 - 23/02/2018 - seção/pg. 1 - 86</t>
  </si>
  <si>
    <t>URUPEMA (SC)</t>
  </si>
  <si>
    <t>0000.00.3658</t>
  </si>
  <si>
    <t>Reserva Particular Do Patrimônio Natural Reserva Volta Velha - Pe. Piet Van Der Aart</t>
  </si>
  <si>
    <t>Portaria 82 - DOU 23 - 31/01/2018 - seção/pg. 1 - 45</t>
  </si>
  <si>
    <t>0000.42.3951</t>
  </si>
  <si>
    <t>Reserva Particular Do Patrimônio Natural Estadual João Heyse Sobrinho</t>
  </si>
  <si>
    <t>Portaria IMA 167/2018</t>
  </si>
  <si>
    <t>MAFRA (SC)</t>
  </si>
  <si>
    <t>0000.42.3954</t>
  </si>
  <si>
    <t>Reserva Particular Do Patrimônio Natural Estadual Parque Das Araucárias</t>
  </si>
  <si>
    <t>Portaria IMA 178/2018</t>
  </si>
  <si>
    <t>0000.42.3957</t>
  </si>
  <si>
    <t>Reserva Particular Do Patrimônio Natural Estadual Prof. Yara C. Nicoletti</t>
  </si>
  <si>
    <t>Portaria IMA 83/2018</t>
  </si>
  <si>
    <t>VARGEM BONITA (SC)</t>
  </si>
  <si>
    <t>Não publicado</t>
  </si>
  <si>
    <t>Rppn Joinville</t>
  </si>
  <si>
    <t>DM 32246/2018</t>
  </si>
  <si>
    <t>6701.42.4814</t>
  </si>
  <si>
    <t>Parque Natural Municipal Armando Rosa</t>
  </si>
  <si>
    <t>LM 4718/2018</t>
  </si>
  <si>
    <t>SÃO JOSÉ DO CEDRO (SC)</t>
  </si>
  <si>
    <t>SECRETARIA DE PLANEJAMENTO E DESENVOLVIMENTO ECONÔMICO DE SÃO JOSÉ DO CEDRO - SC</t>
  </si>
  <si>
    <t>https://leismunicipais.com.br/a/sc/s/sao-jose-do-cedro/lei-ordinaria/2018/472/4718/lei-ordinaria-n-4718-2018-cria-o-parque-natural-municipal-armando-rosa-no-municipio-de-sao-jose-do-cedro-estado-de-santa-catarina-e-da-outras-providencias</t>
  </si>
  <si>
    <t>0540.42.1839</t>
  </si>
  <si>
    <t>Parque Natural Municipal Da Lagoinha Do Leste</t>
  </si>
  <si>
    <t>Dec  153/87; LM 3.701/92; LM 10387/2018</t>
  </si>
  <si>
    <t>https://leismunicipais.com.br/a/sc/f/florianopolis/lei-ordinaria/2018/1039/10387/lei-ordinaria-n-10387-2018-dispoe-sobre-a-criacao-do-parque-natural-municipal-da-lagoinha-do-leste-nos-termos-do-art-55-da-lei-federal-n-9985-de-2000-que-instituiu-o-sistema-nacional-de-unidades-de-conservacao-da-natureza-snuc-e-da-outras-providencias</t>
  </si>
  <si>
    <t>0540.42.3732</t>
  </si>
  <si>
    <t>Parque Natural Municipal Das Dunas Da Lagoa Da Conceição</t>
  </si>
  <si>
    <t>Dec. nº 1.261/75; 123/79 e 231/88; LM 10.388/2018</t>
  </si>
  <si>
    <t>https://leismunicipais.com.br/a/sc/f/florianopolis/lei-ordinaria/2018/1039/10388/lei-ordinaria-n-10388-2018-dispoe-sobre-a-criacao-da-unidade-de-conservacao-parque-natural-municipal-das-dunas-da-lagoa-da-conceicao</t>
  </si>
  <si>
    <t>0540.42.1841</t>
  </si>
  <si>
    <t>Parque Natural Municipal Do Maciço Da Costeira</t>
  </si>
  <si>
    <t>LM 4.605/95; Dec 154/95; LM 10459/2018</t>
  </si>
  <si>
    <t>https://leismunicipais.com.br/a/sc/f/florianopolis/lei-ordinaria/2018/1046/10459/lei-ordinaria-n-10459-2018-dispoe-sobre-a-criacao-do-parque-natural-municipal-do-macico-da-costeira</t>
  </si>
  <si>
    <t>Estação Ecológica Do Bracinho</t>
  </si>
  <si>
    <t>DE 22768/84</t>
  </si>
  <si>
    <t>Joinville/ Schroeder</t>
  </si>
  <si>
    <t>Apa Coxilhia Rica - Não Foi Criada</t>
  </si>
  <si>
    <t>NÃO FOI APROVADA: PLM 0018/2007</t>
  </si>
  <si>
    <t>Lages</t>
  </si>
  <si>
    <t>Área De Proteção Ambiental Arroio Macaco</t>
  </si>
  <si>
    <t>DM 4811/2009</t>
  </si>
  <si>
    <t>SCHROEDER (SC)</t>
  </si>
  <si>
    <t>SECRETARIA MUNICIPAL DE SANEAMENTO E GESTÃO AMBIENTAL DE SCHROEDER - SC</t>
  </si>
  <si>
    <t>https://leismunicipais.com.br/a/sc/s/schroeder/decreto/2019/482/4811/decreto-n-4811-2019-cria-a-area-de-protecao-ambiental-apa-arroio-macaco</t>
  </si>
  <si>
    <t>0540.42.1575</t>
  </si>
  <si>
    <t>Monumento Natural Municipal Da Lagoa Do Peri</t>
  </si>
  <si>
    <t>LM 1828/81; Dec 091/82; LM 10.530/2019</t>
  </si>
  <si>
    <t>Regulamentação: Lei ordinária 1828 de 03/12/1981</t>
  </si>
  <si>
    <t>https://leismunicipais.com.br/a/sc/f/florianopolis/lei-ordinaria/2019/1053/10530/lei-ordinaria-n-10530-2019-dispoe-sobre-a-criacao-da-unidade-de-conservacao-monumento-natural-municipal-da-lagoa-do-peri-mona-da-lagoa-do-peri</t>
  </si>
  <si>
    <t>0000.42.3953</t>
  </si>
  <si>
    <t>Reserva Particular Do Patrimônio Natural Estadual Aroeira Vermelha</t>
  </si>
  <si>
    <t>Portaria IMA 052/2019</t>
  </si>
  <si>
    <t>0000.42.3950</t>
  </si>
  <si>
    <t>Reserva Particular Do Patrimônio Natural Estadual Morro Do Moreira</t>
  </si>
  <si>
    <t>Portaria IMA 40/2019</t>
  </si>
  <si>
    <t>0000.00.4468</t>
  </si>
  <si>
    <t>Reserva Particular Do Patrimônio Natural Taipa Rio Do Couro Ii</t>
  </si>
  <si>
    <t>Portaria 641 - DOU 109 - 09/06/2020 - seção/pg. 01</t>
  </si>
  <si>
    <t>0000.42.4148</t>
  </si>
  <si>
    <t>Reserva Particular Do Patrimônio Natural Estadual Natureza Viva Brf</t>
  </si>
  <si>
    <t>Portaria IMA 196/2020</t>
  </si>
  <si>
    <t>VIDEIRA (SC)</t>
  </si>
  <si>
    <t>0000.42.4146</t>
  </si>
  <si>
    <t>Reserva Particular Do Patrimônio Natural Estadual Sonho Azul</t>
  </si>
  <si>
    <t>Portaria IMA 31/2020</t>
  </si>
  <si>
    <t>PALHOÇA (SC)</t>
  </si>
  <si>
    <t>0000.42.4147</t>
  </si>
  <si>
    <t>Reserva Particular Do Patrimônio Natural Estadual Valdir Baldin</t>
  </si>
  <si>
    <t>Portaria IMA 138/2020</t>
  </si>
  <si>
    <t>PAIAL (SC)</t>
  </si>
  <si>
    <t>1280.42.4150</t>
  </si>
  <si>
    <t xml:space="preserve">Parque Natural Municipal Rio Piçarras </t>
  </si>
  <si>
    <t xml:space="preserve">DM 160/2020 </t>
  </si>
  <si>
    <t>BALNEÁRIO PIÇARRAS (SC)</t>
  </si>
  <si>
    <t>Altera limites (reduz área): LM 941/2023</t>
  </si>
  <si>
    <t>FUNDAÇÃO DO MEIO AMBIENTE DE BALNEÁRIO PIÇARRAS - SC</t>
  </si>
  <si>
    <t>https://leismunicipais.com.br/a/sc/b/balneario-picarras/lei-ordinaria/2023/94/941/lei-ordinaria-n-941-2023-altera-os-limites-do-parque-natural-municipal-rio-picarras-localizado-no-municipio-de-balneario-picarras-sc-e-criado-pelo-decreto-n-160-de-11-de-dezembro-de-2020</t>
  </si>
  <si>
    <t>1160.42.4140</t>
  </si>
  <si>
    <t>Parque Natural Municipal Xokleng</t>
  </si>
  <si>
    <t>LM 2818/2020</t>
  </si>
  <si>
    <t>NOVA VENEZA (SC)</t>
  </si>
  <si>
    <t>Cria conselho LM 2975/2022; Nomeia membros conselho: DM 12/2023</t>
  </si>
  <si>
    <t>FUNDAÇÃO DO MEIO AMBIENTE DE NOVA VENEZA - SC</t>
  </si>
  <si>
    <t>https://leismunicipais.com.br/a/sc/n/nova-veneza/lei-ordinaria/2020/282/2818/lei-ordinaria-n-2818-2020-dispoe-sobre-a-criacao-do-parque-natural-municipal-xokleng-no-municipio-de-nova-veneza-e-da-outras-providencias</t>
  </si>
  <si>
    <t>Arie Pedra Do Frade</t>
  </si>
  <si>
    <t>LM 764/01</t>
  </si>
  <si>
    <t>Laguna</t>
  </si>
  <si>
    <t>Rppn Parque Ecológico Dos Butiás</t>
  </si>
  <si>
    <t>Portaria 1.908 - DOU 106 - 05/06/2023 - seção/pg. 1/244</t>
  </si>
  <si>
    <t>Apa Nova Veneza</t>
  </si>
  <si>
    <t>LM 1318/97</t>
  </si>
  <si>
    <t>Nova Veneza</t>
  </si>
  <si>
    <t>0000.00.4494</t>
  </si>
  <si>
    <t>Reserva Particular Do Patrimônio Natural Cachoeira Da Imbuia</t>
  </si>
  <si>
    <t>Portaria 675 - DOU 204 - 28/10/2021 - seção/pg. 1/66</t>
  </si>
  <si>
    <t>0000.00.4532</t>
  </si>
  <si>
    <t>Reserva Particular Do Patrimônio Natural Chácara São Miguel</t>
  </si>
  <si>
    <t xml:space="preserve">Portaria 1021 - DOU 240 - 22/12/2021 - seção/pg. 1/282
</t>
  </si>
  <si>
    <t>CURITIBANOS (SC)</t>
  </si>
  <si>
    <t>0000.42.4344</t>
  </si>
  <si>
    <t>Reserva Particular Do Patrimônio Natural Estadual Frioeste</t>
  </si>
  <si>
    <t>Portaria IMA 192/2021</t>
  </si>
  <si>
    <t>BANDEIRANTE (SC)</t>
  </si>
  <si>
    <t>Pnm Nathalina Martins Da Luz</t>
  </si>
  <si>
    <t>DM 428/96</t>
  </si>
  <si>
    <t>Rppn Reserva Dos Bugres</t>
  </si>
  <si>
    <t>Portaria 1.837 - DOU 110 - 13/06/2023 - seção/pg. 1/41</t>
  </si>
  <si>
    <t>Pedras Grandes</t>
  </si>
  <si>
    <t>Pnm Ponta Da Vigia</t>
  </si>
  <si>
    <t>DM 3624/2020</t>
  </si>
  <si>
    <t>PENHA (SC)</t>
  </si>
  <si>
    <t>0540.42.4318</t>
  </si>
  <si>
    <t>Refugio De Vida Silvestre Municipal Do Morro Do Lampião</t>
  </si>
  <si>
    <t>DM 23323/2021</t>
  </si>
  <si>
    <t>https://leismunicipais.com.br/a/sc/f/florianopolis/decreto/2021/2333/23323/decreto-n-23323-2021-cria-a-unidade-de-conservacao-refugio-de-vida-silvestre-municipal-morro-do-lampiao-e-da-outras-providencias</t>
  </si>
  <si>
    <t>0540.42.4316</t>
  </si>
  <si>
    <t>Refugio De Vida Silvestre Municipal Meiembipe</t>
  </si>
  <si>
    <t>https://leismunicipais.com.br/a/sc/f/florianopolis/decreto/2021/2333/23324/decreto-n-23324-2021-cria-a-unidade-de-conservacao-refugio-de-vida-silvestre-municipal-meiembipe-e-da-outras-providencias</t>
  </si>
  <si>
    <t>Rppn Cond. Res. Ponta Do Estaleiro</t>
  </si>
  <si>
    <t>DM 2969/2021</t>
  </si>
  <si>
    <t>Área De Proteção Ambiental Dos Guaiamuns</t>
  </si>
  <si>
    <t xml:space="preserve">DM 5.550/2022 </t>
  </si>
  <si>
    <t>https://leismunicipais.com.br/a/sc/i/itapoa/decreto/2022/555/5550/decreto-n-5550-2022-cria-a-area-de-protecao-ambiental-apa-de-itapoa?q=%C3%81REA+DE+PROTE%C3%87%C3%83O+AMBIENTAL</t>
  </si>
  <si>
    <t>Rppn Morro Das Olandis</t>
  </si>
  <si>
    <t>DM 2957/2021</t>
  </si>
  <si>
    <t>0000.00.4548</t>
  </si>
  <si>
    <t>Reserva Particular Do Patrimônio Natural Fazenda Butia</t>
  </si>
  <si>
    <t>Portaria 359 - DOU 87 - 10/05/2022 - seção/pg. 1/98</t>
  </si>
  <si>
    <t>0000.42.4578</t>
  </si>
  <si>
    <t>Reserva Particular Do Patrimônio Natural Estadual Dona Augusta</t>
  </si>
  <si>
    <t>Portaria IMA 158/2022</t>
  </si>
  <si>
    <t>0000.42.4358</t>
  </si>
  <si>
    <t>Reserva Particular Do Patrimônio Natural Estadual Icap - Industria E Comércio Catarinense De Pescados Ltda</t>
  </si>
  <si>
    <t>Portaria IMA 87/2022</t>
  </si>
  <si>
    <t>0000.42.4579</t>
  </si>
  <si>
    <t>Reserva Particular Do Patrimônio Natural Estadual Itutupã</t>
  </si>
  <si>
    <t>Portaria IMA 192/2022</t>
  </si>
  <si>
    <t>0000.42.4359</t>
  </si>
  <si>
    <t>Reserva Particular Do Patrimônio Natural Estadual Paleotoca Serra Laurentino</t>
  </si>
  <si>
    <t>Portaria IMA 88/2022</t>
  </si>
  <si>
    <t>LAURENTINO (SC)</t>
  </si>
  <si>
    <t>0000.42.4361</t>
  </si>
  <si>
    <t>Reserva Particular Do Patrimônio Natural Estadual Parque Das Borboletas</t>
  </si>
  <si>
    <t>Portaria IMA 104/2022</t>
  </si>
  <si>
    <t>RIO DO SUL (SC)</t>
  </si>
  <si>
    <t>0000.42.4360</t>
  </si>
  <si>
    <t>Reserva Particular Do Patrimônio Natural Estadual Pico Da Bandeira</t>
  </si>
  <si>
    <t>Portaria IMA 103/2022</t>
  </si>
  <si>
    <t>5407.42.3063</t>
  </si>
  <si>
    <t>Parque Natural Municipal Do Manguezal Do Itacorubi - Fritz Müller</t>
  </si>
  <si>
    <t xml:space="preserve">DM 24.171/2022 </t>
  </si>
  <si>
    <t>https://leismunicipais.com.br/a/sc/f/florianopolis/decreto/2022/2418/24171/decreto-n-24171-2022-dispoe-sobre-a-adequacao-do-parque-municipal-do-manguezal-do-itacorubi-criado-pelo-decreto-n-1529-de-2002-nos-termos-do-art-55-da-lei-federal-n-9985-de-2000-que-instituiu-o-sistema-nacional-de-unidades-de-conservacao-da-natureza-snuc-e-da-outras-providencias</t>
  </si>
  <si>
    <t>Rppn Bruno Geovani Dallagnelo</t>
  </si>
  <si>
    <t>DM 3455/2022</t>
  </si>
  <si>
    <t>Rppn Guarapuvu Azul</t>
  </si>
  <si>
    <t>DM 3195/2022</t>
  </si>
  <si>
    <t>Rppn Refúgio Do Estaleiro</t>
  </si>
  <si>
    <t>DM3323/22</t>
  </si>
  <si>
    <t>Pnm Dorvalino Luiz Depin</t>
  </si>
  <si>
    <t>LM 3319/2020</t>
  </si>
  <si>
    <t>LM 3371/2020</t>
  </si>
  <si>
    <t>Apa Parque Ecológico Municipal</t>
  </si>
  <si>
    <t>LM 1207/2006</t>
  </si>
  <si>
    <t>Salto Veloso</t>
  </si>
  <si>
    <t>Pnm De São Bonifácio/Gruta São José</t>
  </si>
  <si>
    <t>LM 671/1991</t>
  </si>
  <si>
    <t>SÃO BONIFÁCIO (SC)</t>
  </si>
  <si>
    <t>1620.42.4343</t>
  </si>
  <si>
    <t>Refugio Da Vida Silvestre Nascentes Do Sai</t>
  </si>
  <si>
    <t>DM 3841/2022</t>
  </si>
  <si>
    <t>SECRETARIA MUNICIPAL DE MEIO AMBIENTE DE SÃO FRANCISCO DO SUL - SC</t>
  </si>
  <si>
    <t>https://leismunicipais.com.br/a/sc/s/sao-francisco-do-sul/decreto/2022/385/3841/decreto-n-3841-2022-dispoe-acerca-da-criacao-da-unidade-de-conservacao-de-protecao-integral-revis-nascentes-do-sai</t>
  </si>
  <si>
    <t>Apa Da Vargem Do Cedro</t>
  </si>
  <si>
    <t>São Bonifácio/São Martinho</t>
  </si>
  <si>
    <t>2305.42.4659</t>
  </si>
  <si>
    <t>Monumento Natural Cachoeira Do Amâncio</t>
  </si>
  <si>
    <t>LM 4178/2023</t>
  </si>
  <si>
    <t>https://leismunicipais.com.br/a1/sc/b/biguacu/lei-ordinaria/2023/418/4178/lei-ordinaria-n-4178-2023-cria-a-unidade-de-conservacao-denominada-monumento-natural-cachoeira-do-amancio-e-da-outras-providencias</t>
  </si>
  <si>
    <t>Pnm Do Mulungu</t>
  </si>
  <si>
    <t>LCM 147/2023</t>
  </si>
  <si>
    <t>Apa Fazenda Amola Faca (Pertence À Epagri)</t>
  </si>
  <si>
    <t>São José do Cerrito</t>
  </si>
  <si>
    <t>0000.42.4642</t>
  </si>
  <si>
    <t>Reserva Particular Do Patrimônio Natural Estadual Dona Blanka</t>
  </si>
  <si>
    <t>Portaria IMA 150/2023</t>
  </si>
  <si>
    <t>Mona Do Pinheiro</t>
  </si>
  <si>
    <t>DM 314/87</t>
  </si>
  <si>
    <t>SÃO JOSÉ DO CERRITO (SC)</t>
  </si>
  <si>
    <t>https://www.statkraft.com.br/globalassets/0/.com.br/8-statkraft-brazil/relatorios-meio-ambiente/pch-canoas---eia-e-rima/estudo-de-impacto-ambiental/anexos-eia/anexo-15---consultas-a-intervenientes/statkraft---pch-canoas---resposta-ima-ucs.pdf</t>
  </si>
  <si>
    <t>Apa Morro Do Quilombo</t>
  </si>
  <si>
    <t>LM 2896/96</t>
  </si>
  <si>
    <t>São José/ Tijucas</t>
  </si>
  <si>
    <t>LM 2071/2007</t>
  </si>
  <si>
    <t>Apa Campo De Demonstração</t>
  </si>
  <si>
    <t>LM 125/99</t>
  </si>
  <si>
    <t>São Pedro de Alcântara</t>
  </si>
  <si>
    <t>Apa Mananciais Do Rio Kuntz E Rio Fiorita</t>
  </si>
  <si>
    <t>LM 1012/94</t>
  </si>
  <si>
    <t>Siderópolis</t>
  </si>
  <si>
    <t xml:space="preserve">Contato realizado em 19.04.26 com a  Fundação de Meio Ambiente ( 48) 3435-8986 (Vinicius). famsidvinicius@sirewropolis.sc.gov.br . De fato, não há lomites definidos, não houve interesse de todas as gestoes em instituir os limites e fazer os planos de manejo. </t>
  </si>
  <si>
    <t>Kati enviar cdarta de apresentação ao Vinicius para disenpensa de licitação.</t>
  </si>
  <si>
    <t>Apa Mananciais Dio Rio Sangão, Sant'Ana E Albino</t>
  </si>
  <si>
    <t>LM 1080/95</t>
  </si>
  <si>
    <t>LM 1138/96</t>
  </si>
  <si>
    <t>Apa Mananciais Dos Rios Serra São Bento, Serrinha E Costão Da Serra</t>
  </si>
  <si>
    <t>LM 1271/99</t>
  </si>
  <si>
    <t>0000.42.4898</t>
  </si>
  <si>
    <t>Reserva Particular Do Patrimônio Natural Estadual Canela Preta</t>
  </si>
  <si>
    <t>Portaria IMA 159/2024</t>
  </si>
  <si>
    <t>0000.42.4996</t>
  </si>
  <si>
    <t>Reserva Particular Do Patrimônio Natural Estadual Costa Esmeralda</t>
  </si>
  <si>
    <t>Portaria IMA 235/2024</t>
  </si>
  <si>
    <t>0000.42.4897</t>
  </si>
  <si>
    <t>Reserva Particular Do Patrimônio Natural Estadual Do Sissial</t>
  </si>
  <si>
    <t>Portaria IMA 096/2024</t>
  </si>
  <si>
    <t>0000.42.4900</t>
  </si>
  <si>
    <t>Reserva Particular Do Patrimônio Natural Estadual Hermínio Girardi</t>
  </si>
  <si>
    <t>Portaria IMA 162/2024</t>
  </si>
  <si>
    <t>0000.42.4899</t>
  </si>
  <si>
    <t>Reserva Particular Do Patrimônio Natural Estadual Mirante Da Agronômica</t>
  </si>
  <si>
    <t>Portaria IMA 161/2024</t>
  </si>
  <si>
    <t>AGRONÔMICA (SC)</t>
  </si>
  <si>
    <t>8450.42.4941</t>
  </si>
  <si>
    <t>Reserva Biológica (Rebio) Mata Dos Guanandis - Simflor I</t>
  </si>
  <si>
    <t xml:space="preserve">DM 6.838/2024 </t>
  </si>
  <si>
    <t>Sem informação</t>
  </si>
  <si>
    <t>https://itapoa.atende.net/cidadao/pagina/rebio-mata-dos-guanandis-simflor-i</t>
  </si>
  <si>
    <t>Apa Cedro Margem Direita</t>
  </si>
  <si>
    <t>Timbó</t>
  </si>
  <si>
    <t>Apa Cedro Margem Esquerda</t>
  </si>
  <si>
    <t>Pnm Franz Damm - Jardim Botânico Franz Damm</t>
  </si>
  <si>
    <t>não encontrada - LIGAR</t>
  </si>
  <si>
    <t>Pnm Rio Fortuna</t>
  </si>
  <si>
    <t>Pnm Araponguinhas - Cemitério Araponguinhas</t>
  </si>
  <si>
    <t>Apa Da Sub-Bacia Do Rio Ferreira</t>
  </si>
  <si>
    <t>LM 107/98</t>
  </si>
  <si>
    <t>Treviso</t>
  </si>
  <si>
    <t>Rebio Treze Tilias</t>
  </si>
  <si>
    <t>Treze Tílias</t>
  </si>
  <si>
    <t xml:space="preserve">Pnm Eng. Marcelo Delpizzo Caneschi </t>
  </si>
  <si>
    <t>DM 4016/2017</t>
  </si>
  <si>
    <t>TUBARÃO (SC)</t>
  </si>
  <si>
    <t>Apa Urubici</t>
  </si>
  <si>
    <t>LM 1861/2015</t>
  </si>
  <si>
    <t>Urubici</t>
  </si>
  <si>
    <t>Rppn Fazenda Santa Bárbara</t>
  </si>
  <si>
    <t>Portaria 2.567 - DOU 168 - 30/08/2024 - seção/pg. 1/291</t>
  </si>
  <si>
    <t>Apa Do Rio Maior</t>
  </si>
  <si>
    <t>LM 1665/98</t>
  </si>
  <si>
    <t>Urussanga</t>
  </si>
  <si>
    <t xml:space="preserve">Monumento Natural Ilha Do Campeche </t>
  </si>
  <si>
    <t>Parque Natural Municipal Sumidouro</t>
  </si>
  <si>
    <t>Monumento Natural Municipal Da Ilha Do Campeche</t>
  </si>
  <si>
    <t>Decreto 28.486/2025 de 09/09/2025</t>
  </si>
  <si>
    <t>sc</t>
  </si>
  <si>
    <t>Reconhecimento: Portaria 270/2000 de 18/07/2000 - Regulamentação: Portaria 691/2009 de 23/11/2009 - Contrato de Gestão: Outros Termo de Ajustamento de Conduta - 2021 de 23/11/2021</t>
  </si>
  <si>
    <t xml:space="preserve"> Nenhum</t>
  </si>
  <si>
    <t>Decreto 4.992 de 29 de Abril de 2025. de 29/04/2025</t>
  </si>
  <si>
    <t>https://www.diariomunicipal.sc.gov.br/atos/7252101</t>
  </si>
  <si>
    <t>8450.42.5105</t>
  </si>
  <si>
    <t>Reserva Biológica (Rebio) Mata Dos Guanandis - Simflor Ii</t>
  </si>
  <si>
    <t>Decreto DECRETO EXECUTIVO Nº 7.391/2025 de 23/05/2025</t>
  </si>
  <si>
    <t>https://www.ima.sc.gov.br/index.php/downloads/ecossistemas/4347-portaria-rppne-de-paulo-brnardo-schmitt-amelia-a-schimitt</t>
  </si>
  <si>
    <t>0000.42.5177</t>
  </si>
  <si>
    <t>Reserva Particular Do Patrimônio Natural Estadual   De Paulo  Bernardo  Schmitt  &amp;  Amélia  Schmitt</t>
  </si>
  <si>
    <t>Portaria 302/2025 de 29/10/2025</t>
  </si>
  <si>
    <t>0000.42.5111</t>
  </si>
  <si>
    <t>Reserva Particular Do Patrimônio Natural Estadual Adélio Murakami</t>
  </si>
  <si>
    <t>Portaria 051/2025 de 11/03/2025</t>
  </si>
  <si>
    <t>CANELINHA (SC)</t>
  </si>
  <si>
    <t>https://www.ima.sc.gov.br/index.php/downloads/ecossistemas/4199-portaria-rppne-adelio-murakami</t>
  </si>
  <si>
    <t>0000.42.5110</t>
  </si>
  <si>
    <t>Reserva Particular Do Patrimônio Natural Estadual Cooper A1</t>
  </si>
  <si>
    <t>Portaria 099/2025 de 06/05/2025</t>
  </si>
  <si>
    <t>ITAPIRANGA (SC)</t>
  </si>
  <si>
    <t>https://www.ima.sc.gov.br/index.php/downloads/ecossistemas/4200-portaria-rppne-cooper-a1</t>
  </si>
  <si>
    <t>0000.42.5176</t>
  </si>
  <si>
    <t>Reserva Particular Do Patrimônio Natural Estadual Inidavi</t>
  </si>
  <si>
    <t>Portaria 301/2025 de 29/10/2025</t>
  </si>
  <si>
    <t>https://www.ima.sc.gov.br/index.php/downloads/ecossistemas/4346-portaria-rppne-unidavi</t>
  </si>
  <si>
    <t>0000.42.5163</t>
  </si>
  <si>
    <t>Reserva Particular Do Patrimônio Natural Estadual Sítio Amor Verdadeiro</t>
  </si>
  <si>
    <t>Portaria 257 de 19/09/2025</t>
  </si>
  <si>
    <t>BOMBINHAS (SC) - PORTO BELO (SC)</t>
  </si>
  <si>
    <t>https://www.ima.sc.gov.br/index.php/downloads/ecossistemas/4320-portaria-de-criacao-da-rppne-sitio-amor-verdadeiro</t>
  </si>
  <si>
    <t>0000.42.5162</t>
  </si>
  <si>
    <t>Reserva Particular Do Patrimônio Natural Estadual Sítio Dunka Rosa</t>
  </si>
  <si>
    <t>Portaria 230 de 19/08/2025</t>
  </si>
  <si>
    <t>https://www.ima.sc.gov.br/index.php/downloads/ecossistemas/4260-portaria-reconhecimento-rppne-sitio-dunka-rosa-doesc</t>
  </si>
  <si>
    <t>SNUC?</t>
  </si>
  <si>
    <t>Categoria</t>
  </si>
  <si>
    <t>UC MUNICIPAL</t>
  </si>
  <si>
    <t>ANO DE CRIAÇÃO</t>
  </si>
  <si>
    <t>ATO DE CRIAÇÃO</t>
  </si>
  <si>
    <t>MUNICÍPIO</t>
  </si>
  <si>
    <t>ÁREA (ha)</t>
  </si>
  <si>
    <t>PLANO DE MANEJO</t>
  </si>
  <si>
    <t>Coluna1</t>
  </si>
  <si>
    <t>Observação</t>
  </si>
  <si>
    <t xml:space="preserve">Encaminhamentos </t>
  </si>
  <si>
    <t xml:space="preserve"> Fonte Modelo Caxambu (existe uma proteção ao redor de uma fonte, mas não encontrei infos sobre APA)</t>
  </si>
  <si>
    <t>Caxambu do Sul</t>
  </si>
  <si>
    <t>está tb no doc do ICMBIO https://www.epagri.sc.gov.br/index.php/2021/03/22/dia-mundial-da-agua-conheca-tecnologias-da-epagri-que-preservam-o-recurso/</t>
  </si>
  <si>
    <t>Kati enviar carta de apresentação ao Vinicius para disenpensa de licitação.</t>
  </si>
  <si>
    <t>APP Boca da Barra</t>
  </si>
  <si>
    <t>Dec 13/93, 35/93</t>
  </si>
  <si>
    <t xml:space="preserve">Segue não cadastrada </t>
  </si>
  <si>
    <t>APP Rio Perequê</t>
  </si>
  <si>
    <t>Dec 125/97</t>
  </si>
  <si>
    <t>APP do Manguezal do Itacorubi</t>
  </si>
  <si>
    <t xml:space="preserve">LM 2.193/95 </t>
  </si>
  <si>
    <t>Florianópolis</t>
  </si>
  <si>
    <t>APP Manguezal da Tapera</t>
  </si>
  <si>
    <t>APP Pontal da Daniela</t>
  </si>
  <si>
    <t>LM 5091/97</t>
  </si>
  <si>
    <t>APP do Rio Cerro Azul</t>
  </si>
  <si>
    <t>Ibiam</t>
  </si>
  <si>
    <t>APP do Lajeado Itapiranga</t>
  </si>
  <si>
    <t>LM 2168/2004</t>
  </si>
  <si>
    <t>Itapiranga</t>
  </si>
  <si>
    <t>APP do Rio Uruguai</t>
  </si>
  <si>
    <t>LM 2168/2004; LM 3106/2017</t>
  </si>
  <si>
    <t>https://www.diariomunicipal.sc.gov.br/atos/1416412</t>
  </si>
  <si>
    <t>APP Municipal Joinville</t>
  </si>
  <si>
    <t>LM 1410/75</t>
  </si>
  <si>
    <t>APP entorno da Represa Alto Rio Preto</t>
  </si>
  <si>
    <t>DM 13824/2019</t>
  </si>
  <si>
    <t>Rio Negrinho</t>
  </si>
  <si>
    <t>Restinga da Costa da Lagoa da Conceição</t>
  </si>
  <si>
    <t>Dec 247/1986</t>
  </si>
  <si>
    <t>Restinga de Ponta das Canas</t>
  </si>
  <si>
    <t>Dec 216/1985</t>
  </si>
  <si>
    <t>Restinga de Ponta do Sambaqui</t>
  </si>
  <si>
    <t>HF de Canasvieiras</t>
  </si>
  <si>
    <t>LM 2348/85</t>
  </si>
  <si>
    <t>P da Cachoeira</t>
  </si>
  <si>
    <t>P Véu de Noiva</t>
  </si>
  <si>
    <t>Doutor Pedrinho</t>
  </si>
  <si>
    <t>P da Luz</t>
  </si>
  <si>
    <t>P. 78/1997</t>
  </si>
  <si>
    <t>Parque Sakura (não Salura) (são espécies exóticas do Japão que representam a comunidade local)</t>
  </si>
  <si>
    <t>Frei Rogério</t>
  </si>
  <si>
    <t>P da Canhanduba</t>
  </si>
  <si>
    <t>P Macaco Branco</t>
  </si>
  <si>
    <t>P Castelo do Morro dos Passarinhos</t>
  </si>
  <si>
    <t>Palmitos</t>
  </si>
  <si>
    <t>P 23 de Setembro</t>
  </si>
  <si>
    <t>São Bento do Sul</t>
  </si>
  <si>
    <t>PA Abaeté</t>
  </si>
  <si>
    <t>de 28/05/2002 (n achei a lei, só data)</t>
  </si>
  <si>
    <t>PE Artex</t>
  </si>
  <si>
    <t>P 143/80</t>
  </si>
  <si>
    <t>PE Spitzkopf (Particular)</t>
  </si>
  <si>
    <t>Parque Ecológico Cesino Bernardino (ex Parque Linear)</t>
  </si>
  <si>
    <t>LM 3.086/2018 (n é de criação )</t>
  </si>
  <si>
    <t>PE Cidade das Abelhas</t>
  </si>
  <si>
    <t>PE Córrego Grande</t>
  </si>
  <si>
    <t>Parque Ecológico São Francisco de Assis</t>
  </si>
  <si>
    <t>LM 209/1993; LM 530/1999</t>
  </si>
  <si>
    <t>Forquilhinha</t>
  </si>
  <si>
    <t>Parque Ecológico Ingo Altemburg, Fundação CASAN - FUCAS</t>
  </si>
  <si>
    <t>LO 2295/2010</t>
  </si>
  <si>
    <t>Ituporanga</t>
  </si>
  <si>
    <t>Parque Ecológico Prefeito Rolf Colin</t>
  </si>
  <si>
    <t>DM 6959/92</t>
  </si>
  <si>
    <t>Parque Ecológico Segundo Alcides Dalagnol</t>
  </si>
  <si>
    <t>LM 828/2016 (denominação)</t>
  </si>
  <si>
    <t>Macieira</t>
  </si>
  <si>
    <t>Parque Ecológico Municipal Prefeito Thomaz Pedro da Rocha de Maracajá</t>
  </si>
  <si>
    <t>Dec 010/90; 020/99; Lei 224/90; LM 1373/2023</t>
  </si>
  <si>
    <t>Maracajá</t>
  </si>
  <si>
    <t>Parque Ecológico Municipal Celso Amorim Salazar Pessoa</t>
  </si>
  <si>
    <t>DM 1962/2013</t>
  </si>
  <si>
    <t>São Francisco do Sul</t>
  </si>
  <si>
    <t>Mini Parque Ecológico Melvin Jones</t>
  </si>
  <si>
    <t>LM 7354/2016</t>
  </si>
  <si>
    <t>São Miguel do Oeste</t>
  </si>
  <si>
    <t>PF Büttner</t>
  </si>
  <si>
    <t>PF Rio Vermelho</t>
  </si>
  <si>
    <t>Dec 2006/62; 10056/74; 994/74</t>
  </si>
  <si>
    <t>PF Refúgio</t>
  </si>
  <si>
    <t>Parque Linear Rio Azul (em fase de implementação)</t>
  </si>
  <si>
    <t>Dec 3.848/2022</t>
  </si>
  <si>
    <t>Parque Municipal Morro do Finder</t>
  </si>
  <si>
    <t>DM 29791/17</t>
  </si>
  <si>
    <t>Parque Municipal Pedra do Frade</t>
  </si>
  <si>
    <t>LM 1741/14</t>
  </si>
  <si>
    <t>PM Cachoeira do Fernandes</t>
  </si>
  <si>
    <t>São João Batista</t>
  </si>
  <si>
    <t>PME da Bica</t>
  </si>
  <si>
    <t>Ferroviária</t>
  </si>
  <si>
    <t>Araquari</t>
  </si>
  <si>
    <t>R Rede Ferroviária</t>
  </si>
  <si>
    <t>Imaruí</t>
  </si>
  <si>
    <t>escola Agrícola Araquari</t>
  </si>
  <si>
    <t xml:space="preserve"> Reserva Ecológica de Preservação Permanente</t>
  </si>
  <si>
    <t>LO 526/89</t>
  </si>
  <si>
    <t>RE Pinheiral de São José do Cerrito</t>
  </si>
  <si>
    <t>RE Serra da Leoa</t>
  </si>
  <si>
    <t>Ascurra</t>
  </si>
  <si>
    <t>RF Bom Retiro</t>
  </si>
  <si>
    <t>LM 6766/75</t>
  </si>
  <si>
    <t>RF Núcleo Tritícola</t>
  </si>
  <si>
    <t>RF Videira</t>
  </si>
  <si>
    <t>RF Reserva Florestal do Contestado</t>
  </si>
  <si>
    <t>Caçador</t>
  </si>
  <si>
    <t>RN Rio Turvo</t>
  </si>
  <si>
    <t>RN Lanchares</t>
  </si>
  <si>
    <t>Rancho Queimado</t>
  </si>
  <si>
    <t>RN Alto dos Macacos</t>
  </si>
  <si>
    <t>RN Recanto da Cachoeira</t>
  </si>
  <si>
    <t>UCAD Desterro (administrada pela UFSC)</t>
  </si>
  <si>
    <t xml:space="preserve"> LM 2193/85 </t>
  </si>
  <si>
    <r>
      <rPr>
        <sz val="11"/>
        <color rgb="FF000000"/>
        <rFont val="Calibri"/>
        <scheme val="minor"/>
      </rPr>
      <t xml:space="preserve">Unidade Territorial Exclusiva de Preservação Permanente - </t>
    </r>
    <r>
      <rPr>
        <b/>
        <sz val="11"/>
        <color rgb="FF000000"/>
        <rFont val="Calibri"/>
        <scheme val="minor"/>
      </rPr>
      <t>revogada em 2007</t>
    </r>
  </si>
  <si>
    <t>LC 130/2000; LC 306/2007</t>
  </si>
  <si>
    <t>https://metadados.snirh.gov.br/geonetwork/srv/api/records/e0b9c0ba-a306-48b8-b542-e994f02185d5</t>
  </si>
  <si>
    <t>ABRIR</t>
  </si>
  <si>
    <t>ÁREAS PROTEGIDAS NÃO ENQUADRADAS NO SNUC</t>
  </si>
  <si>
    <t>ÁREA</t>
  </si>
  <si>
    <t>LOCALIZAÇÃO</t>
  </si>
  <si>
    <t>Terra Indígena Águas Claras</t>
  </si>
  <si>
    <t>Regularizada</t>
  </si>
  <si>
    <t>Major Gercino</t>
  </si>
  <si>
    <t>Terra Indígena Amâncio (Ygua Porá)</t>
  </si>
  <si>
    <t>SEM PROVIDÊNCIA</t>
  </si>
  <si>
    <t>Biguaçu</t>
  </si>
  <si>
    <t>Em vermelho são as que encontrei dados na RBMA</t>
  </si>
  <si>
    <t>Terra Indígena Amaral/Tekoá Kuriy</t>
  </si>
  <si>
    <t>regularizada</t>
  </si>
  <si>
    <t>Terra Indígena Araça'i</t>
  </si>
  <si>
    <t>DECLARADA Portaria MJ 790/07</t>
  </si>
  <si>
    <t>2. 721</t>
  </si>
  <si>
    <t>Saudades</t>
  </si>
  <si>
    <t>Terra Indígena Barragem Norte</t>
  </si>
  <si>
    <t>em identificação</t>
  </si>
  <si>
    <t>Terra Indígena Cachoeira dos Inácios</t>
  </si>
  <si>
    <t>Terra Indígena Cambirela</t>
  </si>
  <si>
    <t>EM IDENTIFICAÇÃO - Portaria Nº
798/PRES/ de 25 de maio de 2011</t>
  </si>
  <si>
    <t>Palhoça</t>
  </si>
  <si>
    <t>Terra Indígena Canelinha</t>
  </si>
  <si>
    <t>Canelinha</t>
  </si>
  <si>
    <t>Terra Indígena de Ibirama Laklano II</t>
  </si>
  <si>
    <t>DECLARADA Portaria MJ 1128/03</t>
  </si>
  <si>
    <t>Doutor Pedrinho/ José Boiteux/ Victor Meirelles</t>
  </si>
  <si>
    <t>Terra Indígena Fraiburgo</t>
  </si>
  <si>
    <t>em Estudo Prévio</t>
  </si>
  <si>
    <t>Fraiburgo</t>
  </si>
  <si>
    <t>Terra Indígena de Ibirama</t>
  </si>
  <si>
    <t xml:space="preserve">Terra Indígena de Ibirama Laklano </t>
  </si>
  <si>
    <t>REGISTRADA SPU/CRI_x000D_</t>
  </si>
  <si>
    <t>Doutor Pedrinho/ Itaiópolis/José Boiteux/ Victor Meirelles</t>
  </si>
  <si>
    <t>Terra Indígena Itanhaé</t>
  </si>
  <si>
    <t>RESERVA - 2008_x000D_</t>
  </si>
  <si>
    <t>Terra Indígena Aldeia Kondá</t>
  </si>
  <si>
    <t>GT 1998 -  falta adquirir 200 ha, já identificados</t>
  </si>
  <si>
    <t>Terra Indígena Marangatu</t>
  </si>
  <si>
    <t>RESERVA_x000D_</t>
  </si>
  <si>
    <t>Terra Indígena Massiambú</t>
  </si>
  <si>
    <t>Terra Indígena M'Baroka</t>
  </si>
  <si>
    <t>Terra Indígena M'Biguaçu</t>
  </si>
  <si>
    <t>REGISTRADA SPI/CRI_x000D_</t>
  </si>
  <si>
    <t>Terra Indígena Morro Alto</t>
  </si>
  <si>
    <t>DECLARADA Portaria MJ
2.813/09*</t>
  </si>
  <si>
    <t>Terra Indígena Morro da Palha</t>
  </si>
  <si>
    <t>Terra Indígena Morro dos Cavalos</t>
  </si>
  <si>
    <t>DEMARCADA/2010</t>
  </si>
  <si>
    <t>Terra Indígena Mymba Roca</t>
  </si>
  <si>
    <t>Terra Indígena Palmas</t>
  </si>
  <si>
    <t>Terra Indígena Pindoty/Conquista (Jataity)</t>
  </si>
  <si>
    <t>DECLARADA. Portaria MJ953/10</t>
  </si>
  <si>
    <t>Terra Indígena Pinhal</t>
  </si>
  <si>
    <t>Terra Indígena Piraí</t>
  </si>
  <si>
    <t>DECLARADA. Portaria MJ2907/09</t>
  </si>
  <si>
    <t>Terra Indígena Praia de Fora</t>
  </si>
  <si>
    <t>Terra Indígena Reta/Tapera</t>
  </si>
  <si>
    <t>Terra Indígena Rio Bonito</t>
  </si>
  <si>
    <t>Terra Indígena Rio da Cana</t>
  </si>
  <si>
    <t>Terra Indígena Rio dos Pardos/Kupri</t>
  </si>
  <si>
    <t>Porto União</t>
  </si>
  <si>
    <t>Terra Indígena Tawaí</t>
  </si>
  <si>
    <t>Terra Indígena Teko' a Tarumã</t>
  </si>
  <si>
    <t>DECLARADA Portaria MJ 2747/09</t>
  </si>
  <si>
    <t>Araquari/Balneário Barra do Sul</t>
  </si>
  <si>
    <t>Terra Indígena Teko' a Wy'a</t>
  </si>
  <si>
    <t>RESERVA - 2009</t>
  </si>
  <si>
    <t>Terra Indígena Toldo Chimbangue</t>
  </si>
  <si>
    <t>Terra Indígena Toldo Chimbangue II</t>
  </si>
  <si>
    <t>Terra Indígena Toldo Imbu</t>
  </si>
  <si>
    <t>Portaria MJ nº 
793/07</t>
  </si>
  <si>
    <t>Abelardo Luz</t>
  </si>
  <si>
    <t>Terra Indígena Toldo Pinhal</t>
  </si>
  <si>
    <t>REGISTRADA SPU/CRI</t>
  </si>
  <si>
    <t>Seara</t>
  </si>
  <si>
    <t>Terra Indígena Toldo Pinhal II</t>
  </si>
  <si>
    <t>DECLARADA Portaria MJ 795/07*</t>
  </si>
  <si>
    <t>Terra Indígena Xapecó</t>
  </si>
  <si>
    <t>HOMOLOGADA 1991_x000D_</t>
  </si>
  <si>
    <t>Entre Rios/Ipuaçu/Xanxerê</t>
  </si>
  <si>
    <t>Terra Indígena Xapecó/Pinhalzinho</t>
  </si>
  <si>
    <t>DECLARADA Portaria MJ 792/07</t>
  </si>
  <si>
    <t>Terra Indígena Yaka Porã</t>
  </si>
  <si>
    <t>Terra Indígena Yuy Ju</t>
  </si>
  <si>
    <t>N° Processo</t>
  </si>
  <si>
    <t>Comunidade</t>
  </si>
  <si>
    <t>Localização</t>
  </si>
  <si>
    <t>Área</t>
  </si>
  <si>
    <t>Edital RTID no DOU</t>
  </si>
  <si>
    <t>Portaria no DOU</t>
  </si>
  <si>
    <t xml:space="preserve">54210.000354/2004-40 </t>
  </si>
  <si>
    <t>Invernada dos Negros</t>
  </si>
  <si>
    <t xml:space="preserve">Abdon Batista/Campos Novos </t>
  </si>
  <si>
    <t>09 e 12/02/2007</t>
  </si>
  <si>
    <t>54210.000262/2005-41</t>
  </si>
  <si>
    <t>São Roque</t>
  </si>
  <si>
    <t>Praia Grande (SC) e Mampituba(RS)</t>
  </si>
  <si>
    <t>30/11 e 03/12/2007</t>
  </si>
  <si>
    <t>54210.001323/2007-59</t>
  </si>
  <si>
    <t>Família Thomaz</t>
  </si>
  <si>
    <t xml:space="preserve">Treze de Maio </t>
  </si>
  <si>
    <t>21 e 26/12/2012</t>
  </si>
  <si>
    <t xml:space="preserve">54210.000565/2006-44 </t>
  </si>
  <si>
    <t xml:space="preserve">Campo dos Polí </t>
  </si>
  <si>
    <t xml:space="preserve">Monte Carlo </t>
  </si>
  <si>
    <t>16 e 17/08/2017</t>
  </si>
  <si>
    <t xml:space="preserve">54210.001030/2008-52 </t>
  </si>
  <si>
    <t>Morro do Boi</t>
  </si>
  <si>
    <t>Balneário Camboriu</t>
  </si>
  <si>
    <t>28/06 e 02/07/2018</t>
  </si>
  <si>
    <t>54210.001914/2013-74</t>
  </si>
  <si>
    <t>Vidal Martins</t>
  </si>
  <si>
    <t xml:space="preserve">Florianópolis </t>
  </si>
  <si>
    <t>10 e 11/02/2020 2</t>
  </si>
  <si>
    <t>54210.000278/2007-15</t>
  </si>
  <si>
    <t xml:space="preserve">Morro do Fortunato </t>
  </si>
  <si>
    <t>Garopaba</t>
  </si>
  <si>
    <t>Em Elaboração</t>
  </si>
  <si>
    <t>54210.000279/2007-60</t>
  </si>
  <si>
    <t xml:space="preserve">Toca/Santa Cruz </t>
  </si>
  <si>
    <t>Paulo Lopes</t>
  </si>
  <si>
    <t>54210.000866/2008-30</t>
  </si>
  <si>
    <t>Aldeia</t>
  </si>
  <si>
    <t>Garopaba/Imbituba</t>
  </si>
  <si>
    <t>MUNICÍPIOS de SC</t>
  </si>
  <si>
    <t>LEG DISPONIVEL NO LEISMUN</t>
  </si>
  <si>
    <t>Plano diretor</t>
  </si>
  <si>
    <t>Parcelamento</t>
  </si>
  <si>
    <t>Saneamento</t>
  </si>
  <si>
    <t>recursos Hídricos</t>
  </si>
  <si>
    <t>Política ambiental</t>
  </si>
  <si>
    <t>Zonas interesse amb</t>
  </si>
  <si>
    <t>Secretaria MA</t>
  </si>
  <si>
    <t>Conselho MA</t>
  </si>
  <si>
    <t>Fundação MA</t>
  </si>
  <si>
    <t>Fundo MA</t>
  </si>
  <si>
    <t>Direito animal</t>
  </si>
  <si>
    <t>Patr. natural</t>
  </si>
  <si>
    <t>PNM</t>
  </si>
  <si>
    <t>MONA</t>
  </si>
  <si>
    <t>RDesSustentável</t>
  </si>
  <si>
    <t>REFAU</t>
  </si>
  <si>
    <t>ARelInterEcológico</t>
  </si>
  <si>
    <t>EE</t>
  </si>
  <si>
    <t>ReViS</t>
  </si>
  <si>
    <t>Órgão ambiental</t>
  </si>
  <si>
    <t>Telefone</t>
  </si>
  <si>
    <t>Observações</t>
  </si>
  <si>
    <t>Abdon Batista</t>
  </si>
  <si>
    <t>Secretaria de Agricultura e Meio Ambiente</t>
  </si>
  <si>
    <t>(49) 3545-1133</t>
  </si>
  <si>
    <t>ferias ate 24/05</t>
  </si>
  <si>
    <t>Lei 740/89</t>
  </si>
  <si>
    <t>Lei 742/1989</t>
  </si>
  <si>
    <t>Lei 2408 e 2438/2015</t>
  </si>
  <si>
    <t>não tem</t>
  </si>
  <si>
    <t>Lei 1022/93</t>
  </si>
  <si>
    <t>Lei 2284/2013</t>
  </si>
  <si>
    <t>Lei 2710/2023</t>
  </si>
  <si>
    <t>Dec federal s/n 19/10/2005</t>
  </si>
  <si>
    <t>(49) 3445-4322</t>
  </si>
  <si>
    <t>7 as 12h</t>
  </si>
  <si>
    <t>Agrolândia</t>
  </si>
  <si>
    <t>LC 85/2010</t>
  </si>
  <si>
    <t>Lei 2171/2012</t>
  </si>
  <si>
    <t>Lei 812/2014</t>
  </si>
  <si>
    <t>Lei 2001/2010</t>
  </si>
  <si>
    <t>Secretaria de Infraestrutura, Saneamento e Meio Ambiente</t>
  </si>
  <si>
    <t>(47) 3534-4155</t>
  </si>
  <si>
    <t>contatar cristiano@agrolandia.sc.gov.br - tem um parque antigo, n sabe a lei; DEC 81/2010 (DECLARA DE UTILIDADE PÚBLICA PARA FINS DE INTERVENÇÃO EM ÁREA DE PRESERVAÇÃO PERMANENTE)</t>
  </si>
  <si>
    <t>Agronômica</t>
  </si>
  <si>
    <t>LC 42/2008</t>
  </si>
  <si>
    <t>LC 63/2011</t>
  </si>
  <si>
    <t>LC 92/2014</t>
  </si>
  <si>
    <t>Lei 666/2004</t>
  </si>
  <si>
    <t>Departamento Municipal de Planejamento e Meio Ambiente</t>
  </si>
  <si>
    <t>(47) 3542-0181</t>
  </si>
  <si>
    <t>ngm atendeu</t>
  </si>
  <si>
    <t>Água Doce</t>
  </si>
  <si>
    <t>LC 122/2017</t>
  </si>
  <si>
    <t>LC 123/2017</t>
  </si>
  <si>
    <t>Lei 1633/2007</t>
  </si>
  <si>
    <t>Lei 1734/2009</t>
  </si>
  <si>
    <t>Lei 712/91</t>
  </si>
  <si>
    <t>(49) 3524-0000</t>
  </si>
  <si>
    <t>nenhuma área natural municipal protegida</t>
  </si>
  <si>
    <t>Águas de Chapecó</t>
  </si>
  <si>
    <t>(49) 3339-0527</t>
  </si>
  <si>
    <t>Parque Hidroeste - contatar Jurídico p verificar legislação</t>
  </si>
  <si>
    <t>Águas Frias</t>
  </si>
  <si>
    <t>Lei 1333/2022</t>
  </si>
  <si>
    <t>Lei 1340/2022</t>
  </si>
  <si>
    <t>LC 78/2022</t>
  </si>
  <si>
    <t>Dec 164/2022</t>
  </si>
  <si>
    <t>LC 82/2022</t>
  </si>
  <si>
    <t>(49) 3332-0143</t>
  </si>
  <si>
    <t>nenhuma área natural municipal protegida, só áreas de reserva legal</t>
  </si>
  <si>
    <t>Águas Mornas</t>
  </si>
  <si>
    <t>LC 73/2023</t>
  </si>
  <si>
    <t>Lei 678/2005</t>
  </si>
  <si>
    <t>Lei 960/2019</t>
  </si>
  <si>
    <t>Lei 1015/2022</t>
  </si>
  <si>
    <t>Setor responsável pelas ações voltadas ao meio ambiente.</t>
  </si>
  <si>
    <t>(48) 2013-1100</t>
  </si>
  <si>
    <t>Alfredo Wagner</t>
  </si>
  <si>
    <t>Dec 4881/2022</t>
  </si>
  <si>
    <t>Lei 673/2006</t>
  </si>
  <si>
    <t>Lei 508/2002</t>
  </si>
  <si>
    <t>LC 75/2023</t>
  </si>
  <si>
    <t>Secretaria Municipal da Agricultura, Abastecimento e Meio Ambiente</t>
  </si>
  <si>
    <t>(48) 3276-1760</t>
  </si>
  <si>
    <t>pq mun de exposiçoes vilson kleinubing - contatar juridico</t>
  </si>
  <si>
    <t>Alto Bela Vista</t>
  </si>
  <si>
    <t>LC 49/2012</t>
  </si>
  <si>
    <t>LC 50/2012</t>
  </si>
  <si>
    <t>LC 48/2012</t>
  </si>
  <si>
    <t>Lei 714/2017</t>
  </si>
  <si>
    <t>Lei 715/2017</t>
  </si>
  <si>
    <t>(49) 3455-9022</t>
  </si>
  <si>
    <t>fone prefeitura - ngm atendeu na sec</t>
  </si>
  <si>
    <t>Anchieta</t>
  </si>
  <si>
    <t>LC 26/2010</t>
  </si>
  <si>
    <t>LC 101/2021</t>
  </si>
  <si>
    <t>Lei 1931/2012</t>
  </si>
  <si>
    <t>LC 119/2023</t>
  </si>
  <si>
    <t>Lei 1163/2000; Lei 2792/2024</t>
  </si>
  <si>
    <t>Lei 2429/2019</t>
  </si>
  <si>
    <t>LC 124/2024</t>
  </si>
  <si>
    <t>(49) 3653-3200</t>
  </si>
  <si>
    <t>agricultura@anchieta.sc.gov.br - Está fazendo um parque na gruta Sta Lucia, mandar infos para secretario Rafael Ferreira</t>
  </si>
  <si>
    <t>Angelina</t>
  </si>
  <si>
    <t>LC 1076/2008</t>
  </si>
  <si>
    <t>Lei 1043/2007/ Lei 1168/2013</t>
  </si>
  <si>
    <t>não tem?</t>
  </si>
  <si>
    <t>Lei 761/97</t>
  </si>
  <si>
    <t>Secretaria de Agricultura, Meio Ambiente, Comércio, Indústria e Turismo</t>
  </si>
  <si>
    <t>(48) 3274-1405</t>
  </si>
  <si>
    <t>Anita Garibaldi</t>
  </si>
  <si>
    <t>Lei 1783/2007</t>
  </si>
  <si>
    <t>Lei 1784/2007</t>
  </si>
  <si>
    <t>Lei 2149/2017</t>
  </si>
  <si>
    <t>Lei 1586/2003</t>
  </si>
  <si>
    <t>(49) 3543-0191</t>
  </si>
  <si>
    <t>tem um setor de meio ambiente, não é a secretaria de agricultura</t>
  </si>
  <si>
    <t>Anitápolis</t>
  </si>
  <si>
    <t>LC 712/2008</t>
  </si>
  <si>
    <t>Lei 815/2013</t>
  </si>
  <si>
    <t>Secretaria Municipal de Agricultura, Turismo e Meio Ambiente</t>
  </si>
  <si>
    <t>(48) 3256-0188</t>
  </si>
  <si>
    <t>Antônio Carlos</t>
  </si>
  <si>
    <t>Lei 1292/2010</t>
  </si>
  <si>
    <t>Lei 1622/2019</t>
  </si>
  <si>
    <t>Lei 1394/2012</t>
  </si>
  <si>
    <t>Lei 1.078/2006</t>
  </si>
  <si>
    <t>Lei 1443/2013</t>
  </si>
  <si>
    <t>(48) 3272-8694</t>
  </si>
  <si>
    <t>Apiúna</t>
  </si>
  <si>
    <t>Secretaria Municipal de Agricultura e Meio Ambiente</t>
  </si>
  <si>
    <t>(47) 3353-2017</t>
  </si>
  <si>
    <t>Arabutã</t>
  </si>
  <si>
    <t>LC 135/2013</t>
  </si>
  <si>
    <t>LC 139/2013</t>
  </si>
  <si>
    <t>LC 174/2015</t>
  </si>
  <si>
    <t>Lei 872/2016</t>
  </si>
  <si>
    <t>Lei 871/2016</t>
  </si>
  <si>
    <t>Lei 821/2015; Lei 838/2015</t>
  </si>
  <si>
    <t>(49) 3448-0048</t>
  </si>
  <si>
    <t>LC 281/2019</t>
  </si>
  <si>
    <t>Lei 3222/2017</t>
  </si>
  <si>
    <t>LC 73/2009</t>
  </si>
  <si>
    <t>LC 71/2009</t>
  </si>
  <si>
    <t>LC 378/2022</t>
  </si>
  <si>
    <t>LC 312/2020</t>
  </si>
  <si>
    <t>Lei 1654/2002; Lei 787/88</t>
  </si>
  <si>
    <t>Lei 3732/2022</t>
  </si>
  <si>
    <t>Fundação Municipal do Meio Ambiente</t>
  </si>
  <si>
    <t>(47) 3434-0466</t>
  </si>
  <si>
    <t>Parque refúgio dos pássaros - LEI Nº 3.967/2023 DISPÕE SOBRE A GESTÃO E USO DO PARQUE REFÚGIO DOS PÁSSAROS</t>
  </si>
  <si>
    <t>LC 150/2012</t>
  </si>
  <si>
    <t>LC 183/2016</t>
  </si>
  <si>
    <t>Lei 2859/2010; Lei 3882/2022</t>
  </si>
  <si>
    <t>LC 149/2012</t>
  </si>
  <si>
    <t>Lei 2708/2008</t>
  </si>
  <si>
    <t>Lei 2608/2007</t>
  </si>
  <si>
    <t>Dec 6396/2014</t>
  </si>
  <si>
    <t xml:space="preserve">Lei 2214/2004; Dec 7829/2016 </t>
  </si>
  <si>
    <t>Dec 7828/2016</t>
  </si>
  <si>
    <t xml:space="preserve">Fundação Ambiental do Município de Araranguá </t>
  </si>
  <si>
    <t>(48) 3903-1878 / (48) 98837-5059</t>
  </si>
  <si>
    <t>Armazém</t>
  </si>
  <si>
    <t>LC 1257/2006</t>
  </si>
  <si>
    <t>Lei 1499/2011</t>
  </si>
  <si>
    <t>Lei 1251/2006</t>
  </si>
  <si>
    <t>LC 2074/2023</t>
  </si>
  <si>
    <t>Lei 2078/2023</t>
  </si>
  <si>
    <t>Lei 1578/2012</t>
  </si>
  <si>
    <t>Lei 1020/2004</t>
  </si>
  <si>
    <t>(49) 3535-6000</t>
  </si>
  <si>
    <t>Arvoredo</t>
  </si>
  <si>
    <t>LC 70/2015</t>
  </si>
  <si>
    <t>LC 54/2013</t>
  </si>
  <si>
    <t>LC 105/2022</t>
  </si>
  <si>
    <t>LC 126/2023</t>
  </si>
  <si>
    <t>(49) 3356-3000</t>
  </si>
  <si>
    <t>LC 263/2022</t>
  </si>
  <si>
    <t>LC 265/2022</t>
  </si>
  <si>
    <t>Lei 1083/2008</t>
  </si>
  <si>
    <t>Dec 3145/2018</t>
  </si>
  <si>
    <t>Lei 1510/2018</t>
  </si>
  <si>
    <t>Lei 1510/2018;  Dec 3143/2018</t>
  </si>
  <si>
    <t>Lei 1722/2023</t>
  </si>
  <si>
    <t>LC 262/2022</t>
  </si>
  <si>
    <t>(47) 3308-3750</t>
  </si>
  <si>
    <t>Atalanta</t>
  </si>
  <si>
    <t>LC Nº 40/2020</t>
  </si>
  <si>
    <t>Lei 112/2009; Lei 1671/2021</t>
  </si>
  <si>
    <t>Lei 1745/2023</t>
  </si>
  <si>
    <t>Lei 743/2001</t>
  </si>
  <si>
    <t>Dec 004/2000; LC 2/2006</t>
  </si>
  <si>
    <t>Secretaria de Turismo e Meio Ambiente</t>
  </si>
  <si>
    <t>(47) 3535-0229</t>
  </si>
  <si>
    <t>Aurora</t>
  </si>
  <si>
    <t>Secretaria do Meio Ambiente</t>
  </si>
  <si>
    <t>(47) 3524-0144</t>
  </si>
  <si>
    <t>Balneário Arroio do Silva</t>
  </si>
  <si>
    <t>LC 99/2019</t>
  </si>
  <si>
    <t>Dec 80/2022</t>
  </si>
  <si>
    <t>LC 132/2022</t>
  </si>
  <si>
    <t>Lei 274/2001</t>
  </si>
  <si>
    <t>Dec 197/2021</t>
  </si>
  <si>
    <t>Secretaria de Planejamento Urbano e Meio Ambiente</t>
  </si>
  <si>
    <t>(48) 3526-1445</t>
  </si>
  <si>
    <t>Lei 2686/2006</t>
  </si>
  <si>
    <t>Lei 2794/2008</t>
  </si>
  <si>
    <t>Lei 3603/2013</t>
  </si>
  <si>
    <t>Lei 4560/2021</t>
  </si>
  <si>
    <t>Lei 2698/2007</t>
  </si>
  <si>
    <t>Lei 1718/1977</t>
  </si>
  <si>
    <t>Lei 4152/2018</t>
  </si>
  <si>
    <t>x</t>
  </si>
  <si>
    <t>Dec 2351/93 alt Lei 2611/2006</t>
  </si>
  <si>
    <t>Lei 1985/200</t>
  </si>
  <si>
    <t>Res 1/2022</t>
  </si>
  <si>
    <t xml:space="preserve">(47) 3267-7080 </t>
  </si>
  <si>
    <t>Dec 11.538/2024 (Declara de Utilidade Pública, para fins de intervenção e supressão de vegetação nativa em Área de Preservação Permanente, a obra de desassoreamento e retificação do Rio das Ostras)</t>
  </si>
  <si>
    <t>LC 86/2020</t>
  </si>
  <si>
    <t>Dec 600/2006</t>
  </si>
  <si>
    <t>dec 1920/2023</t>
  </si>
  <si>
    <t>Lei 1377/2018</t>
  </si>
  <si>
    <t>Lei 1378/2018</t>
  </si>
  <si>
    <t>LC 53/2018</t>
  </si>
  <si>
    <t>Lei 28/1993</t>
  </si>
  <si>
    <t>Lei 379/2002</t>
  </si>
  <si>
    <t>Dec 13 e 35/93, Dec 125/97</t>
  </si>
  <si>
    <t>Secretaria de Meio Ambiente</t>
  </si>
  <si>
    <t>(47) 3448 - 1665</t>
  </si>
  <si>
    <t>Balneário Gaivota</t>
  </si>
  <si>
    <t>Lei 1048/2020</t>
  </si>
  <si>
    <t>Lei 959/2017</t>
  </si>
  <si>
    <t>Lei 1312/2024</t>
  </si>
  <si>
    <t>Lei 1260/2023</t>
  </si>
  <si>
    <t>lei 962/2017, lei 272/2002</t>
  </si>
  <si>
    <t>Secretaria de Meio Ambiente e Desenvolvimento Econômico Sustentável</t>
  </si>
  <si>
    <t>(48) 3583-1408 ramal 232</t>
  </si>
  <si>
    <t>LO 1155/2021 (AUTORIZA O MUNICÍPIO DE BALNEÁRIO GAIVOTA A UTILIZAR, EM REGIME DE COMODATO, IMÓVEL PARTICULAR PARA UTILIZAÇÃO COMO PARQUE MUNICIPAL DE EVENTOS E RESERVA ECOLÓGICA)</t>
  </si>
  <si>
    <t>Bandeirante</t>
  </si>
  <si>
    <t>Secretaria Municipal de Agropecuária, Meio Ambiente e Desenvolvimento Econômico</t>
  </si>
  <si>
    <t>(49) 3626-0012</t>
  </si>
  <si>
    <t>Barra Bonita</t>
  </si>
  <si>
    <t>LC 29/2009</t>
  </si>
  <si>
    <t>Secretaria da Agricultura e Meio Ambiente</t>
  </si>
  <si>
    <t>(49) 3649-0087</t>
  </si>
  <si>
    <t>LO 720/2014 (AUTORIZA O CHEFE DO PODER EXECUTIVO MUNICIPAL A RECEBER EM DOAÇÃO PROJETO AMBIENTAL DE DRENAGEM, DESASSOREAMENTO, LIMPEZA E SUPRESSÃO DE VEGETAÇÃO NATIVA E EXÓTICA EM ÁREA URBANA, LOCALIZADAS EM ÁREA DE PRESERVAÇÃO PERMANENTE - APP, NO LEITO DO RIO ARROIO BARRA BONITA E DÁ OUTRAS PROVIDÊNCIAS)</t>
  </si>
  <si>
    <t>Barra Velha</t>
  </si>
  <si>
    <t>LC 69/2008</t>
  </si>
  <si>
    <t>LC 64/2008</t>
  </si>
  <si>
    <t>LM 1003/2010</t>
  </si>
  <si>
    <t>LM 367/2001</t>
  </si>
  <si>
    <t>LC 271/2021</t>
  </si>
  <si>
    <t>Lei 930/2010</t>
  </si>
  <si>
    <t>Dec 428/2007 Dec 1365/2019 Dec 1762/2022 Dec 1847/2023</t>
  </si>
  <si>
    <t>LO 192/1999, LO 89/1991</t>
  </si>
  <si>
    <t>(47) 3307-9444 / (47) 99164-0017</t>
  </si>
  <si>
    <t>Bela Vista do Toldo</t>
  </si>
  <si>
    <t>(47) 3629-0182</t>
  </si>
  <si>
    <t>Belmonte</t>
  </si>
  <si>
    <t>Secretaria de Agricultura, Meio Ambiente e Educação</t>
  </si>
  <si>
    <t>(49) 36250066</t>
  </si>
  <si>
    <t>Benedito Novo</t>
  </si>
  <si>
    <t>LC 234/2024</t>
  </si>
  <si>
    <t>PMMA</t>
  </si>
  <si>
    <t>LO 360/79</t>
  </si>
  <si>
    <t>(47) 3385-0487 – Ramal 2076</t>
  </si>
  <si>
    <t>Dec 141/2020(Dispõe sobre a regulamentação dos procedimentos para obtenção da Certidão de Regularização Ambiental (CRA) de imóveis situados em Núcleos Urbanos Informais que ocupam Área de Preservação Permanente ao longo dos cursos d`água naturais, em conformidade com o disposto na Lei Ordinária nº 1.994, de 19 de agosto de 2020); Dec 169/2021 (Homologa a Resolução nº 006/2021, do Conselho Municipal do Meio Ambiente de Benedito Novo, que Dispõe sobre Intervenções em Área de Preservação Permanente - APP, previstas no Art. 8º da Lei nº 12.651/2012 e Resolução CONSEMA nº 128/2019); Dec 48/2023 (Dispõe sobre os procedimentos para análise de Viabilidade de Uso de Área Urbana Consolidada (AUC), das faixas de Área de Preservação Permanente dos cursos d`água em AUC do Município de Benedito Novo e do Diagnóstico Socioambiental e seus anexos, nos termos da Lei Complementar nº 224, de 26 de abril de 2023., LC 224/2023 (Dispõe sobre a delimitação das Áreas Urbanas Consolidadas (AUC) e a definição das Áreas de Preservação Permanente (APP) em Área Urbana Consolidada (AUC), nos termos do que estabelece a Lei nº 12.651, de 25 de maio de 2012, com as alterações dada pela Lei nº 14.285, de 29 de dezembro de 2021.)</t>
  </si>
  <si>
    <t>LC 12/2009</t>
  </si>
  <si>
    <t>Lei 275/1980</t>
  </si>
  <si>
    <t>LC 6/2007</t>
  </si>
  <si>
    <t>Lei 2531/2007</t>
  </si>
  <si>
    <t>Lei 1862/2003</t>
  </si>
  <si>
    <t>Dec 15/2009</t>
  </si>
  <si>
    <t>Lei 1176/1997</t>
  </si>
  <si>
    <t>Fundação Municipal de Meio Ambiente de Biguaçu - Famabi</t>
  </si>
  <si>
    <t>(48) 3094-4127 / (48) 99138-5240</t>
  </si>
  <si>
    <t>LC 785/2010, LC 747/2010</t>
  </si>
  <si>
    <t>LC 99/95, LO 4990/98, LO 5869/2002, LO 8993/2021</t>
  </si>
  <si>
    <t>LC 4157/92, DM 8408/2007</t>
  </si>
  <si>
    <t>LC 99/95, DM 6797/2001, DM 6435/99</t>
  </si>
  <si>
    <t>Secretaria do Meio Ambiente e Sustentabilidade</t>
  </si>
  <si>
    <t>(47) 3381-6199</t>
  </si>
  <si>
    <t>Dec 13431/2021 (ALTERA E ACRESCENTA DISPOSITIVOS E ACRESCENTA OS ANEXOS I, II E III NO DECRETO Nº 12.849, DE 29 DE SETEMBRO DE 2020, QUE "DISPÕE SOBRE A REGULARIZAÇÃO AMBIENTAL DOS NÚCLEOS URBANOS INFORMAIS CONSOLIDADOS, OCUPADOS PREDOMINANTEMENTE POR POPULAÇÃO NÃO CONSIDERADA DE BAIXA RENDA, COM INCIDÊNCIA DE ÁREAS DE PRESERVAÇÃO PERMANENTE NAS FAIXAS MARGINAIS DOS CURSOS D`ÁGUA DO MUNICÍPIO DE BLUMENAU, NOS TERMOS DO ART. 65 DA LEI FEDERAL Nº 12.651, DE 12 DE MAIO DE 2012 - CÓDIGO FLORESTAL E ARTIGO 96-B DA LEI COMPLEMENTAR MUNICIPAL Nº 747, DE 23 DE MARÇO DE 2010 - CÓDIGO DO MEIO AMBIENTE DO MUNICÍPIO DE BLUMENAU</t>
  </si>
  <si>
    <t>Bocaina do Sul</t>
  </si>
  <si>
    <t>(49) 3228-0047</t>
  </si>
  <si>
    <t>LC 368/2021</t>
  </si>
  <si>
    <t>LM 1131/2009</t>
  </si>
  <si>
    <t>LM1478/2015</t>
  </si>
  <si>
    <t>Dec 2995/2023</t>
  </si>
  <si>
    <t>LC 78/2008</t>
  </si>
  <si>
    <t>LM 1790/2022</t>
  </si>
  <si>
    <t>LO 614/2001</t>
  </si>
  <si>
    <t>Dec 2123/2015</t>
  </si>
  <si>
    <t>Dec 418/2001(revogada)</t>
  </si>
  <si>
    <t>dec 3163/2024</t>
  </si>
  <si>
    <t>Fundação de Amparo ao Meio Ambiente - Famab</t>
  </si>
  <si>
    <t>(47) 3393-9538</t>
  </si>
  <si>
    <t>Dec 1372/2010 (cria a Comissão Permanente de Regulamentação das Unidades de Conservação criadas pelo Poder Executivo Municipal) Dec 1780/2013 (Nomeia Comitê Gestor Municipal do Projeto Orla); Dec 1754/2013 (nomeia Conselho Municipal do Patrimônio Cultural de Bombinhas - COMPAB); Dec 2304/2017 (Nomeia membros para o Conselho Consultivo do Parque Natural Municipal da Costeira de Zimbros); Dec 2775/2021 (Revoga o Decreto Municipal nº 2154, de 15 de fevereiro de 2016, que dispõe sobre medidas para proteção de área ambiental, localizadas na Praia de Quatro Ilhas, Praia do Retiro dos Padres até o inicio da baixada da Praia da Sepultura, denominadas no Plano de Intervenção do Gerenciamento Costeiro da Orla de Bombinhas como pertencentes a unidade 2, trechos 2.1 e 2.2, e dá outras providências.), Dec 3101/2023 (Nomeia Conselho Consultivo Integrado dos Parques Naturais do Município de Bombinhas)</t>
  </si>
  <si>
    <t>Bom Jardim da Serra</t>
  </si>
  <si>
    <t>LO 1526/2023</t>
  </si>
  <si>
    <t>Bom Jesus</t>
  </si>
  <si>
    <t>Secretaria de Agricultura, Meio Ambiente Indústria e Comércio</t>
  </si>
  <si>
    <t xml:space="preserve">(49) 3424-0089  </t>
  </si>
  <si>
    <t>Bom Jesus do Oeste</t>
  </si>
  <si>
    <t>LO 1201/2020</t>
  </si>
  <si>
    <t>(49) 3363-0118</t>
  </si>
  <si>
    <t>Bom Retiro</t>
  </si>
  <si>
    <t>(49)3277-0853</t>
  </si>
  <si>
    <t>LC 49/2019</t>
  </si>
  <si>
    <t>Dec 2017/2017</t>
  </si>
  <si>
    <t>Dec 935/2003</t>
  </si>
  <si>
    <t>Setor de Meio ambiente / Conselho Municipal de Meio Ambiente</t>
  </si>
  <si>
    <t>(47) 3359-3200</t>
  </si>
  <si>
    <t>LO 526/1989 (CRIA RESERVA ECOLÓGICA DE PRESERVAÇÃO PERMANENTE - três barras), LO 1568/2022 (Dispõe sobre a delimitação das Áreas Urbanas Consolidadas (AUC) e a definição das Áreas de Preservação Permanente (APP) em Área Urbana Consolidada (AUC))</t>
  </si>
  <si>
    <t>Braço do Norte</t>
  </si>
  <si>
    <t>LC 342/2015</t>
  </si>
  <si>
    <t>LM 3314/2019</t>
  </si>
  <si>
    <t>LC 172/2011</t>
  </si>
  <si>
    <t>LM 3313/2019</t>
  </si>
  <si>
    <t>LO 2119/2004</t>
  </si>
  <si>
    <t>Fundação do Meio Ambiente de Braço do Norte - Funbama</t>
  </si>
  <si>
    <t>(48) 3658-5110</t>
  </si>
  <si>
    <t>Braço do Trombudo</t>
  </si>
  <si>
    <t>LC 75/2019</t>
  </si>
  <si>
    <t>Departamento de Meio Ambiente</t>
  </si>
  <si>
    <t>(47) 3547-0382</t>
  </si>
  <si>
    <t>Brunópolis</t>
  </si>
  <si>
    <t>Secretaria Municipal de Agricultura, Indústria, Comércio, Pecuária e Meio Ambiente</t>
  </si>
  <si>
    <t>(49) 3556-0020</t>
  </si>
  <si>
    <t>LM 3396/2011</t>
  </si>
  <si>
    <t>LM 2627/2002</t>
  </si>
  <si>
    <t>LM 2858/2005</t>
  </si>
  <si>
    <t>LM 2601/2002</t>
  </si>
  <si>
    <t>LM 3606/2013</t>
  </si>
  <si>
    <t>LO 3593/2013</t>
  </si>
  <si>
    <t>Dec 7849/2016</t>
  </si>
  <si>
    <t>LO 4547/2023</t>
  </si>
  <si>
    <t>Fundação Municipal do Meio Ambiente - Fundema</t>
  </si>
  <si>
    <t xml:space="preserve">(47) 3355-6193 / </t>
  </si>
  <si>
    <t>Dec 7894/2016 (O PREFEITO MUNICIPAL DE BRUSQUE, no exercício de suas atribuições conferidas pela Lei Orgânica do Município, em seu art. 111, inciso I, e Considerando às Resoluções CONSEMA nº 03/08 e CONAMA 369/06 que define os casos excepcionais em que o órgão ambiental competente pode autorizar a intervenção em Área de Preservação Permanente - APP para a implantação de obras, planos, atividades ou projetos de utilidade pública ou interesse social, ou para a realização de ações consideradas eventuais e de baixo impacto ambiental...)</t>
  </si>
  <si>
    <t>LC 89/2006</t>
  </si>
  <si>
    <t>Secretaria de Agricultura, Desenvolvimento Rural e Meio Ambiente</t>
  </si>
  <si>
    <t>(49) 3666-2400</t>
  </si>
  <si>
    <t>Caibi</t>
  </si>
  <si>
    <t>(49) 3648-0211</t>
  </si>
  <si>
    <t>Calmon</t>
  </si>
  <si>
    <t>LC 41/2011</t>
  </si>
  <si>
    <t>LO 338/2003</t>
  </si>
  <si>
    <t>Secretaria Municipal de Agricultura, Pecuária, Pesca e Meio Ambiente</t>
  </si>
  <si>
    <t>(49) 3573-0150 / 9 9840-1169</t>
  </si>
  <si>
    <t>LC 67/2013</t>
  </si>
  <si>
    <t>LC 48/2013</t>
  </si>
  <si>
    <t>LM 2834/2015</t>
  </si>
  <si>
    <t>LM 3568/2024</t>
  </si>
  <si>
    <t>Lei 3305/2020</t>
  </si>
  <si>
    <t>Lei 3263/2020</t>
  </si>
  <si>
    <t>Dec 4416/2024 Dec 4376/2024</t>
  </si>
  <si>
    <t>Fundação do Meio Ambiente (FUCAM)</t>
  </si>
  <si>
    <t>(47) 3365-2311</t>
  </si>
  <si>
    <t>Dec 4117/2022 (nomeia os Membros do Conselho Gestor da Área de Proteção Ambiental do Morro do Gavião); Dec 3869/2021 (Aprova o Regimento Interno do Conselho Gestor da Área de Proteção Ambiental do Morro do Gavião); LC 103/2020 (Cria o Conselho Gestor da Área de Proteção Ambiental do Morro do Gavião e dá outras providências)</t>
  </si>
  <si>
    <t>Capão Alto</t>
  </si>
  <si>
    <t>LO 142/2003</t>
  </si>
  <si>
    <t>Secretaria Municipal de Agricultura, Pesca e Meio Ambiente</t>
  </si>
  <si>
    <t>(49) 3237-2030</t>
  </si>
  <si>
    <t>LC 147/2019</t>
  </si>
  <si>
    <t>LO 2347/98, LO 2348/98</t>
  </si>
  <si>
    <t>Secretaria Municipal de Saneamento Ambiental e Meio Ambiente</t>
  </si>
  <si>
    <t>(47)3632-7412</t>
  </si>
  <si>
    <t>Campo Belo do Sul</t>
  </si>
  <si>
    <t>Secretaria da Agricultura, meio ambiente e Turismo</t>
  </si>
  <si>
    <t>(49) 3249-1133 - ramal 215</t>
  </si>
  <si>
    <t>Dec 87/95</t>
  </si>
  <si>
    <t>(49) 3655-3000</t>
  </si>
  <si>
    <t>Campos Novos</t>
  </si>
  <si>
    <t>LC 06/2017</t>
  </si>
  <si>
    <t>LO 446/2018</t>
  </si>
  <si>
    <t>(49) 3541-0117</t>
  </si>
  <si>
    <t>Dec 5150/2006 (APROVA LOTEAMENTO "PARQUE INDUSTRIAL E ECOLÓGICO ERNESTO ZORTÉA". - tem área de preservação destinada de 117.512m2)</t>
  </si>
  <si>
    <t>LC 4/2009</t>
  </si>
  <si>
    <t>LO 937/89</t>
  </si>
  <si>
    <t>Secretaria de Desenvolvimento, Agricultura, Meio Ambiente, Habitaçao e Turismo</t>
  </si>
  <si>
    <t>(48) 3246-4000</t>
  </si>
  <si>
    <t>Canoinhas</t>
  </si>
  <si>
    <t>Lei 4266/2007</t>
  </si>
  <si>
    <t>Secretaria de Meio Ambiente(SEMMA) meioambiente@pmc.sc.gov.br</t>
  </si>
  <si>
    <t>(47) 3621-7744/3621-7762</t>
  </si>
  <si>
    <t>Capinzal</t>
  </si>
  <si>
    <t>LC 64/2002</t>
  </si>
  <si>
    <t>Secretaria de Agricultura e Meio Ambiente - meioambiente@capinzal.sc.gov.br</t>
  </si>
  <si>
    <t>(49) 3555-3329 / (49) 3555-3394</t>
  </si>
  <si>
    <t>Capivari de Baixo</t>
  </si>
  <si>
    <t>Lei 1080/2006</t>
  </si>
  <si>
    <t>LO 517/99</t>
  </si>
  <si>
    <t>(48) 3621-4400</t>
  </si>
  <si>
    <t>Catanduvas</t>
  </si>
  <si>
    <t>LC 126/2016</t>
  </si>
  <si>
    <t>LO 1759/2002</t>
  </si>
  <si>
    <t>(49) 3525-6500</t>
  </si>
  <si>
    <t>LEI 1156/2008</t>
  </si>
  <si>
    <t xml:space="preserve">Secretaria de Desenvolvimento Econômico, Agricultura, Turismo e Meio Ambiente </t>
  </si>
  <si>
    <t>49 3326.0192</t>
  </si>
  <si>
    <t>Ligar pra saber sobre a suposta APA Fonte Caxambu</t>
  </si>
  <si>
    <t>Celso Ramos</t>
  </si>
  <si>
    <t>Secretaria da Cidade e Meio Ambiente</t>
  </si>
  <si>
    <t>(49) 3547-1211 / (49) 999326224</t>
  </si>
  <si>
    <t>Cerro Negro</t>
  </si>
  <si>
    <t>LEI 526/2010</t>
  </si>
  <si>
    <t>(49) 3258-0000</t>
  </si>
  <si>
    <t>Chapadão do Lageado</t>
  </si>
  <si>
    <t>LC 35/2008</t>
  </si>
  <si>
    <t>Secretaria Municipal de Meio Ambiente e Turismo</t>
  </si>
  <si>
    <t>(47) 3537-0072 / 3537-0014 /  3537-0073</t>
  </si>
  <si>
    <t>Lei 689/2020; Lei 5383/2008</t>
  </si>
  <si>
    <t>(49) 3321-8400</t>
  </si>
  <si>
    <t>LEI 146/2023</t>
  </si>
  <si>
    <t>Lei 531/2002; Lei 516/2002</t>
  </si>
  <si>
    <t>Lei 1457/2018</t>
  </si>
  <si>
    <t>Diretoria Municipal do Meio Ambiente</t>
  </si>
  <si>
    <t>(48) 3444-6000</t>
  </si>
  <si>
    <t>Concórdia</t>
  </si>
  <si>
    <t>Lei 2380/1989</t>
  </si>
  <si>
    <t>Lei 1925/1984</t>
  </si>
  <si>
    <t>Lei 2379/1989</t>
  </si>
  <si>
    <t>Lei 3484/2003</t>
  </si>
  <si>
    <t>(49) 3441-2000</t>
  </si>
  <si>
    <t>Cordilheira Alta</t>
  </si>
  <si>
    <t>(49) 3358-9100</t>
  </si>
  <si>
    <t>Coronel Freitas</t>
  </si>
  <si>
    <t>LO 2500/2022</t>
  </si>
  <si>
    <t>Secretaria de Agricultura, Estradas, Meio Ambiente e Serviços Urbanos</t>
  </si>
  <si>
    <t>(49) 3347-0242</t>
  </si>
  <si>
    <t>Coronel Martins</t>
  </si>
  <si>
    <t>(49) 3459-0011</t>
  </si>
  <si>
    <t>Corupá</t>
  </si>
  <si>
    <t>LC 76/2018</t>
  </si>
  <si>
    <t>LO 2676/2023</t>
  </si>
  <si>
    <t>LO 2637/2023; LO 2716/2024</t>
  </si>
  <si>
    <t>LO 2725/2024</t>
  </si>
  <si>
    <t>Secretaria Municipal de Agricultura, Meio Ambiente e Defesa Civil</t>
  </si>
  <si>
    <t>(47) 3375-1902</t>
  </si>
  <si>
    <t>Correia Pinto</t>
  </si>
  <si>
    <t>LEI 109/86</t>
  </si>
  <si>
    <t>Dec 2183/2024</t>
  </si>
  <si>
    <t xml:space="preserve">Secretaria de Agricultura e Meio Ambiente </t>
  </si>
  <si>
    <t>(49) 3243-2070</t>
  </si>
  <si>
    <t>LC 95/2012</t>
  </si>
  <si>
    <t>Lei 7999/2021</t>
  </si>
  <si>
    <t>Lei 5631/2010</t>
  </si>
  <si>
    <t>Lei 4400/2002</t>
  </si>
  <si>
    <t>Lei 4458/2002, 5243/2008, 5806/2011</t>
  </si>
  <si>
    <t>Lei 1484/79</t>
  </si>
  <si>
    <t>LC 446/2021</t>
  </si>
  <si>
    <t>Lei 7367/2018</t>
  </si>
  <si>
    <t xml:space="preserve">LO 5207/08; </t>
  </si>
  <si>
    <t xml:space="preserve">Lei 8630/2024; 4502/2003, 7605, 7606, 7607/2019; </t>
  </si>
  <si>
    <t>Diretoria Municipal do Meio Ambiente - DMACRI</t>
  </si>
  <si>
    <t>LM 7844/2021 - Parque Turístico e Ecológico do Mirante (dentro da APA do Morro do Cechinel), Lei 2974/94, Lei 8571/2024</t>
  </si>
  <si>
    <t>Cunha Porã</t>
  </si>
  <si>
    <t>Secretaria Municipal de Agricultura, Abastecimento e Meio Ambiente</t>
  </si>
  <si>
    <t>(49) 3646 3304</t>
  </si>
  <si>
    <t>Cunhataí</t>
  </si>
  <si>
    <t>Secretaria Municipal de Desenvolvimento Rural e Meio Ambiente</t>
  </si>
  <si>
    <t>(49) 3338-0010</t>
  </si>
  <si>
    <t>Curitibanos</t>
  </si>
  <si>
    <t>LC 45/2006</t>
  </si>
  <si>
    <t>LO 5872/2017</t>
  </si>
  <si>
    <t>Secretaria de Agricultura, Abastecimento, Meio Ambiente e Desenvolvimento Rural</t>
  </si>
  <si>
    <t>(49) 3241-1805</t>
  </si>
  <si>
    <t>Descanso</t>
  </si>
  <si>
    <t>LC 39/2019</t>
  </si>
  <si>
    <t>APP da sanga do curtume;  APP da ponte escavada</t>
  </si>
  <si>
    <t>(49)3623-0161</t>
  </si>
  <si>
    <t>Dionísio Cerqueira</t>
  </si>
  <si>
    <t>é pra ter mas n achei</t>
  </si>
  <si>
    <t>Secretaria da Agricultura, Desenvolvimento Rural e Meio Ambiente</t>
  </si>
  <si>
    <t>(49) 3644-6700</t>
  </si>
  <si>
    <t>Dona Emma</t>
  </si>
  <si>
    <t>LC 91/2008</t>
  </si>
  <si>
    <t>LC 129/2015</t>
  </si>
  <si>
    <t>Secretaria de Agricultura e Meio Ambiente</t>
  </si>
  <si>
    <t>(47) 3364-2800</t>
  </si>
  <si>
    <t>LC 125/2014</t>
  </si>
  <si>
    <t>LO 937/2020</t>
  </si>
  <si>
    <t>Secretaria Municipal de Agricultura e Meio-Ambiente</t>
  </si>
  <si>
    <t>(47) 3388-0050</t>
  </si>
  <si>
    <t>Entre Rios</t>
  </si>
  <si>
    <t>(49) 3351-0060</t>
  </si>
  <si>
    <t>Ermo</t>
  </si>
  <si>
    <t>(48) 3546-0198</t>
  </si>
  <si>
    <t>Erval Velho</t>
  </si>
  <si>
    <t>LC 68/2016</t>
  </si>
  <si>
    <t>(49) 3542-1222</t>
  </si>
  <si>
    <t>Faxinal dos Guedes</t>
  </si>
  <si>
    <t>LC 172/2022</t>
  </si>
  <si>
    <t>(49) 3436-4300</t>
  </si>
  <si>
    <t>Flor do Sertão</t>
  </si>
  <si>
    <t>(49) 3668-1027</t>
  </si>
  <si>
    <t>LC 739/2023</t>
  </si>
  <si>
    <t>Lei 8130/2010</t>
  </si>
  <si>
    <t>LM 4645/95</t>
  </si>
  <si>
    <t>Dec 23708/2022 Dec 1529/2002 são 7 parques pesquisar o resto</t>
  </si>
  <si>
    <t>tem uma ARIE pesquisar</t>
  </si>
  <si>
    <t>Dec 23323/2021 Dec 23324/2021</t>
  </si>
  <si>
    <t>Fundação Municipal do Meio Ambiente - FLORAM/Departamento de Unidades de Conservação - DEPUC</t>
  </si>
  <si>
    <t>(48) 3237-5660</t>
  </si>
  <si>
    <t>Dec 23708/2022 (Cria Grupamento Especial de Proteção Ambiental de Florianópolis - GEPA)</t>
  </si>
  <si>
    <t>Formosa do Sul</t>
  </si>
  <si>
    <t>LC 79/2022</t>
  </si>
  <si>
    <t>(49) 3343-0043</t>
  </si>
  <si>
    <t>Lei 2444/2020</t>
  </si>
  <si>
    <t>LO 1361/2008</t>
  </si>
  <si>
    <t>LO 209/1993; LO 530/1999</t>
  </si>
  <si>
    <t>(48) 3463-3039 - (48) 99123-1494</t>
  </si>
  <si>
    <t>LC 97/2008</t>
  </si>
  <si>
    <t>LO 1048/1994; LC 314/2023</t>
  </si>
  <si>
    <t>(49) 3256-3006</t>
  </si>
  <si>
    <t>Tem uma APA s/ info legislativa</t>
  </si>
  <si>
    <t>(49) 3257-0000</t>
  </si>
  <si>
    <t>Galvão</t>
  </si>
  <si>
    <t>LO 287/1983; LO 26/1986; LC 17/2003</t>
  </si>
  <si>
    <t>(49) 3342-1111</t>
  </si>
  <si>
    <t>LC 2.385/2021</t>
  </si>
  <si>
    <t>Instituto Municipal de Meio Ambiente de Garopaba - IMAG/Diretoria de Educação Ambiental, Unidades de Conservação e Arborização (DEUA)</t>
  </si>
  <si>
    <t>(48) 3254-8240 </t>
  </si>
  <si>
    <t>LC 146/2024</t>
  </si>
  <si>
    <t>Lei 238/80</t>
  </si>
  <si>
    <t>LO 991/1988</t>
  </si>
  <si>
    <t>LO 357/1984;</t>
  </si>
  <si>
    <t>APA do Quiriri - LC 146/2024</t>
  </si>
  <si>
    <t>LO 357/1984; LO 815/1994; LO 2497/2023</t>
  </si>
  <si>
    <t>Secretaria de Saneamento Ambiental - SESA / sesa@garuva.sc.gov.br</t>
  </si>
  <si>
    <t>(47) 3445-1696</t>
  </si>
  <si>
    <t>Lei 2803/2006</t>
  </si>
  <si>
    <t>LC 72/2016</t>
  </si>
  <si>
    <t>Dec 10465/2022</t>
  </si>
  <si>
    <t>LM 168/2000; Dec 6136/2014</t>
  </si>
  <si>
    <t>Superintendência de Meio Ambiente e Desenvolvimento Sustentável</t>
  </si>
  <si>
    <t>(47) 3091-2082</t>
  </si>
  <si>
    <t>Governador Celso Ramos</t>
  </si>
  <si>
    <t>LC 1771/2023</t>
  </si>
  <si>
    <t>LO 1161/2016; LO 09/1983</t>
  </si>
  <si>
    <t xml:space="preserve">? </t>
  </si>
  <si>
    <t>(48) 3262-0323</t>
  </si>
  <si>
    <t>Grão Pará</t>
  </si>
  <si>
    <t>Lei 2278/2022</t>
  </si>
  <si>
    <t>Lei 1804/2011</t>
  </si>
  <si>
    <t>Dec 34/2015</t>
  </si>
  <si>
    <t>Dec 26/2015</t>
  </si>
  <si>
    <t>Fundação Ambiental do Município de Grão Pará - FAMGP / famgp@graopara.sc.gov.br</t>
  </si>
  <si>
    <t>(48) 3652-1177</t>
  </si>
  <si>
    <t>Gravatal</t>
  </si>
  <si>
    <t>Lei 1647/2013</t>
  </si>
  <si>
    <t>LO 671/1996; LO 844/2000</t>
  </si>
  <si>
    <t>Secretaria de Agricultura e Meio Ambiente / agricultura@gravatal.sc.gov.br</t>
  </si>
  <si>
    <t>(48) 3648-8000</t>
  </si>
  <si>
    <t>Guabiruba</t>
  </si>
  <si>
    <t>Lei 784/2001</t>
  </si>
  <si>
    <t>LO 1780/2022; LO 837/2023; v. obs</t>
  </si>
  <si>
    <t>Secretaria de Meio Ambiente / meioambiente@guabiruba.sc.gov.br</t>
  </si>
  <si>
    <t>(47) 3308-3100</t>
  </si>
  <si>
    <t>Supressões de APP (Dec 1429/2019; Dec 1802/2019; Dec 1219/2021; Dec 1244/2021; Dec 1246/2021; Dec 1273/2021; Dec 1376/2021; Dec 1398/2022; Dec 1415/2022)</t>
  </si>
  <si>
    <t>Guaraciaba</t>
  </si>
  <si>
    <t>LC 39/2011</t>
  </si>
  <si>
    <t>(49) 3645-2000</t>
  </si>
  <si>
    <t>Guaramirim</t>
  </si>
  <si>
    <t>LC 172/2020</t>
  </si>
  <si>
    <t>LO 775/2017; LO 4408/2017; LO 4893/2022</t>
  </si>
  <si>
    <t>Secretaria de Meio Ambiente e Defesa Civil /meioambiente@guaramirim.sc.gov.br</t>
  </si>
  <si>
    <t>(47) 3373-0247 - ramal: 212</t>
  </si>
  <si>
    <t>Guarujá do Sul</t>
  </si>
  <si>
    <t>Secretaria Municipal da Agricultura e Meio Ambiente</t>
  </si>
  <si>
    <t>(49) 3642-0122</t>
  </si>
  <si>
    <t>Guatambú</t>
  </si>
  <si>
    <t>LC 150/2022</t>
  </si>
  <si>
    <t>LC 145/2022</t>
  </si>
  <si>
    <t>(49) 3336-0054</t>
  </si>
  <si>
    <t>Herval d'Oeste</t>
  </si>
  <si>
    <t>LC 426/2023</t>
  </si>
  <si>
    <t>Secretaria de Agricultura e Meio Ambiente / agricultura@hervaldoeste.sc.gov.br</t>
  </si>
  <si>
    <t>LC 56/2022</t>
  </si>
  <si>
    <t>LO 679/2022; Dec. 3848/2022</t>
  </si>
  <si>
    <t>Secretaria de Agricultura e Meio Ambiente / agricultura@ibiam.sc.gov.br</t>
  </si>
  <si>
    <t>(49) 3534-0239/ 3534-0044 R35</t>
  </si>
  <si>
    <t>Ibicaré</t>
  </si>
  <si>
    <t>LC 5/2007</t>
  </si>
  <si>
    <t>Secretaria de Fomento Agropecuário, Indústria, Comércio e Meio Ambiente</t>
  </si>
  <si>
    <t>49 3538-0283</t>
  </si>
  <si>
    <t>Ibirama</t>
  </si>
  <si>
    <t>LC 172/2019</t>
  </si>
  <si>
    <t>LO 3543/2022; LC 202/2022</t>
  </si>
  <si>
    <t>Secretaria de Desenvolvimento Econômico e Meio Ambiente (SEDEMA) / sedema@ibirama.sc.gov.br</t>
  </si>
  <si>
    <t>(47) 3357-8515</t>
  </si>
  <si>
    <t>Lei 822/90</t>
  </si>
  <si>
    <t>Lei 1806/2002</t>
  </si>
  <si>
    <t>Lei 1807/2002</t>
  </si>
  <si>
    <t>Dec 136/2016</t>
  </si>
  <si>
    <t>Lei 2019/2004</t>
  </si>
  <si>
    <t>Fundação Municipal do Meio Ambiente (FUNDAI) / atendimento@fundai.sc.gov.br / https://fundai.sc.gov.br/</t>
  </si>
  <si>
    <t>(48) 3431-3578</t>
  </si>
  <si>
    <t>Ilhota</t>
  </si>
  <si>
    <t>LC 16/2007</t>
  </si>
  <si>
    <t>LC 101/2017</t>
  </si>
  <si>
    <t>Dec 51/2015</t>
  </si>
  <si>
    <t>LC 204/2023</t>
  </si>
  <si>
    <t>Secretaria de Meio Ambiente e Desenvolvimento Sustentável (SEMA) / meioambiente@ilhota.sc.gov.br</t>
  </si>
  <si>
    <t>(47) 3343-8815</t>
  </si>
  <si>
    <t>LC 27/2013</t>
  </si>
  <si>
    <t>LC 61/2022</t>
  </si>
  <si>
    <t>Dec 125/2020</t>
  </si>
  <si>
    <t>1717/2013</t>
  </si>
  <si>
    <t>LC 23/2013</t>
  </si>
  <si>
    <t xml:space="preserve">Fundação Municipal do Meio Ambiente </t>
  </si>
  <si>
    <t>(48) 3643-0196</t>
  </si>
  <si>
    <t>Dec 99/2022; LC 2623/2005</t>
  </si>
  <si>
    <t>Lei 2204/2001</t>
  </si>
  <si>
    <t>LO 1762/1998</t>
  </si>
  <si>
    <t>LO 1875/1998</t>
  </si>
  <si>
    <t>(APA federal)</t>
  </si>
  <si>
    <t>Tem uma REBIO?</t>
  </si>
  <si>
    <t>Secretaria Municipal de Meio Ambiente (SEMA)</t>
  </si>
  <si>
    <t>(48) 3355-8100 Ramal 8160</t>
  </si>
  <si>
    <t>Imbuia</t>
  </si>
  <si>
    <t>Dec 44/2008 (não achei o decreto, e sim uma menção a ele no site da APREMAVI)</t>
  </si>
  <si>
    <t>Secretaria de Agricultura, Indústria, Comércio e Meio Ambiente</t>
  </si>
  <si>
    <t>(47) 3557-2400</t>
  </si>
  <si>
    <t>Indaial</t>
  </si>
  <si>
    <t>LC 230/2019</t>
  </si>
  <si>
    <t>LO 4040 e 4041/2009</t>
  </si>
  <si>
    <t>LO 6267/2023</t>
  </si>
  <si>
    <t>Secretaria de Urbanização e Meio Ambiente de Indaial / meioambiente@indaial.sc.gov.br</t>
  </si>
  <si>
    <t>(47) 3333-4520 e 3333-4530</t>
  </si>
  <si>
    <t>Iomerê</t>
  </si>
  <si>
    <t>LC 30/2012</t>
  </si>
  <si>
    <t>Secretaria de Agricultura, Urbanismo e Meio Ambiente</t>
  </si>
  <si>
    <t>(49) 3539-6000</t>
  </si>
  <si>
    <t>Ipira</t>
  </si>
  <si>
    <t>(49) 3558-0109</t>
  </si>
  <si>
    <t>Iporã do Oeste</t>
  </si>
  <si>
    <t>LC 85/2012</t>
  </si>
  <si>
    <t>LO 189/1992</t>
  </si>
  <si>
    <t>(49) 3634-1210</t>
  </si>
  <si>
    <t>Ipuaçu</t>
  </si>
  <si>
    <t xml:space="preserve">Secretaria de Agricultura, Desenvolvimento Econômico¸ Meio Ambiente e Sustentabilidade </t>
  </si>
  <si>
    <t>(49) 3449-0251</t>
  </si>
  <si>
    <t>Ipumirim</t>
  </si>
  <si>
    <t>LC 125/2013</t>
  </si>
  <si>
    <t xml:space="preserve">LC 83/2010; </t>
  </si>
  <si>
    <t>Secretaria Municipal de Agricultura, Meio Ambiente, Indústria, Comércio e Serviços</t>
  </si>
  <si>
    <t>(49) 3438-3406</t>
  </si>
  <si>
    <t>Iraceminha</t>
  </si>
  <si>
    <t xml:space="preserve"> Secretaria Municipal de Agricultura e Meio Ambiente / agricultura@iraceminha.sc.gov.br</t>
  </si>
  <si>
    <t>(49) 3665-3227</t>
  </si>
  <si>
    <t>Irani</t>
  </si>
  <si>
    <t>LO 479/1987</t>
  </si>
  <si>
    <t xml:space="preserve"> Secretaria de Agricultura e Meio Ambiente /  agricultura@irani.sc.gov.br</t>
  </si>
  <si>
    <t>(49) 3432 3259</t>
  </si>
  <si>
    <t>Irati</t>
  </si>
  <si>
    <t>LC 1240/2023</t>
  </si>
  <si>
    <t xml:space="preserve"> Secretaria de Agricultura e Meio Ambiente</t>
  </si>
  <si>
    <t>(49) 3349-0010</t>
  </si>
  <si>
    <t>LO 1213/2005; Dec 1962/2009</t>
  </si>
  <si>
    <t>Tem uma REBIO</t>
  </si>
  <si>
    <t>(47) 3625-1111</t>
  </si>
  <si>
    <t>Itá</t>
  </si>
  <si>
    <t>LC 45/2008</t>
  </si>
  <si>
    <t>LO 1650/2003</t>
  </si>
  <si>
    <t>Secretaria Municipal de Agricultura e Meio Ambiente / agricultura@ita.sc.gov.br</t>
  </si>
  <si>
    <t>(49) 3458-9568 / (49) 3458-9569</t>
  </si>
  <si>
    <t>Itaiópolis</t>
  </si>
  <si>
    <t>LC 7/2008</t>
  </si>
  <si>
    <t xml:space="preserve">Secretaria Municipal de Agricultura e Meio Ambiente </t>
  </si>
  <si>
    <t>(47)3652-2844</t>
  </si>
  <si>
    <t>LC 449/2024</t>
  </si>
  <si>
    <t>LC 215/2012</t>
  </si>
  <si>
    <t>Lei 6472/2013</t>
  </si>
  <si>
    <t xml:space="preserve"> não tem</t>
  </si>
  <si>
    <t>LC 459/2024</t>
  </si>
  <si>
    <t>Lei 4885/2007</t>
  </si>
  <si>
    <t>LC 21/2019</t>
  </si>
  <si>
    <t>PL 06/2010</t>
  </si>
  <si>
    <t>Dec 7954/2006, Dec 8107/2007 Dec 8297/2007, Lei 5195/2008, Lei 5301/2009</t>
  </si>
  <si>
    <t>Dec 8513/2008, Lei 7133/2020, Dec 13023/2023</t>
  </si>
  <si>
    <t>INIS</t>
  </si>
  <si>
    <t>(47) 3348-8031</t>
  </si>
  <si>
    <t>Dec 12076/2020, (DECLARA DE INTERESSE SOCIAL, PARA FINS DE INTERVENÇÃO EM ÁREA DE PRESERVAÇÃO PERMANENTE, AS OBRAS DE IMPLANTAÇÃO DO PARQUE ECOLÓGICO E NÁUTICO DE ITAJAÍ), Dec 11645/2019 (DECLARA DE UTILIDADE PÚBLICA, PARA INTERVENÇÃO EM ÁREA DE PRESERVAÇÃO PERMANENTE, AS OBRAS DE IMPLANTAÇÃO DA UNIDADE EDUCACIONAL DO SENAC EM ITAJAÍ).</t>
  </si>
  <si>
    <t>Itapema</t>
  </si>
  <si>
    <t>LC 7/2002</t>
  </si>
  <si>
    <t>LC 10/2002</t>
  </si>
  <si>
    <t>Lei 2732/2009</t>
  </si>
  <si>
    <t>LC 9/2002</t>
  </si>
  <si>
    <t>Lei 1870/2001</t>
  </si>
  <si>
    <t>Dec 18/2017</t>
  </si>
  <si>
    <t>Dec 25/2017</t>
  </si>
  <si>
    <t>Lei 4382/2023</t>
  </si>
  <si>
    <t>Lei 2051/2002</t>
  </si>
  <si>
    <t>Lei 2042/2002 autoriza desapropriação p/ criar parque, até hj não foi criado</t>
  </si>
  <si>
    <t>Dec 87/2012, Dec 120/2023</t>
  </si>
  <si>
    <t>Fundação Ambiental Área Costeira de Itapema - FAACI</t>
  </si>
  <si>
    <t>(47) 3267-1485</t>
  </si>
  <si>
    <t>Secretaria Municipal de Agricultura e Meio Ambiente / secagricultura@itapiranga.sc.gov.br</t>
  </si>
  <si>
    <t>(49) 3678-7726</t>
  </si>
  <si>
    <t>LC 48/2016</t>
  </si>
  <si>
    <t>Lei 682/2016</t>
  </si>
  <si>
    <t>Lei 786/2018</t>
  </si>
  <si>
    <t>Lei 052/2017</t>
  </si>
  <si>
    <t>Lei 830/2018</t>
  </si>
  <si>
    <t>Lei 725/2017</t>
  </si>
  <si>
    <t>Lei 126/2002</t>
  </si>
  <si>
    <t>tem um parque s/ info</t>
  </si>
  <si>
    <t>Dec 5550/2022</t>
  </si>
  <si>
    <t>Secretaria de Meio Ambiente de Itapoá (SEMAI) / meioambiente@itapoa.sc.gov.br</t>
  </si>
  <si>
    <t>(47) 3443-8800, (47) 3443-2780 e (47) 98869-1240</t>
  </si>
  <si>
    <t>LO 2892/2022</t>
  </si>
  <si>
    <t>LC 120/2022</t>
  </si>
  <si>
    <t>(47) 3533-1211</t>
  </si>
  <si>
    <t>Jaborá</t>
  </si>
  <si>
    <t>DM 2299 e 2310/2022</t>
  </si>
  <si>
    <t>Secretaria de Desenvolvimento Rural e Gestão Ambiental</t>
  </si>
  <si>
    <t>(49) 3526-2023</t>
  </si>
  <si>
    <t>Jacinto Machado</t>
  </si>
  <si>
    <t>Secretaria de Agricultura, Irrigação e Meio Ambiente</t>
  </si>
  <si>
    <t>(48) 3535-1133</t>
  </si>
  <si>
    <t>Jaguaruna</t>
  </si>
  <si>
    <t>LC 4/2014</t>
  </si>
  <si>
    <t>LO 2265/2024</t>
  </si>
  <si>
    <t>LM 900/2001; LM 1385/2010</t>
  </si>
  <si>
    <t>? (tem um CONDEMA)</t>
  </si>
  <si>
    <t>(48) 3624-8400</t>
  </si>
  <si>
    <t>Jaraguá do Sul</t>
  </si>
  <si>
    <t>219/2018</t>
  </si>
  <si>
    <t>Lei 7235/2006</t>
  </si>
  <si>
    <t>LC 234/2009; Dec 13181/2029</t>
  </si>
  <si>
    <t>Lei 7902/2009</t>
  </si>
  <si>
    <t>LC 41/2005</t>
  </si>
  <si>
    <t>Lei 2643/2000</t>
  </si>
  <si>
    <t>LO 1854/1994</t>
  </si>
  <si>
    <t>LO 7180/2015</t>
  </si>
  <si>
    <t>Dec 13181/2019; LO 8259/2020; Dec 13943/2020; Dec 14256/2020</t>
  </si>
  <si>
    <t>Fundação Jaraguaense de Meio Ambiente - (Fujama) / fuj17@jaraguadosul.sc.gov.br / www.jaraguadosul.sc.gov.br/fujama</t>
  </si>
  <si>
    <t>(47) 3273-8008 / (47) 99258-2618</t>
  </si>
  <si>
    <t>Jardinópolis</t>
  </si>
  <si>
    <t>(49) 3337-0004</t>
  </si>
  <si>
    <t>Joaçaba</t>
  </si>
  <si>
    <t>LO 1215/85</t>
  </si>
  <si>
    <t>LO 2800/2022; LO 5127/2017</t>
  </si>
  <si>
    <t>LC 248/2013</t>
  </si>
  <si>
    <t>(49) 3527 8800</t>
  </si>
  <si>
    <t>DM 6959/92, DM 29791/17, DM 11734/2004</t>
  </si>
  <si>
    <t>LM 11005/2003, DM 19665/2012</t>
  </si>
  <si>
    <t>Secretaria de Meio Ambiente – SAMA /  sama.nad@joinville.sc.gov.br</t>
  </si>
  <si>
    <t>(48) 3644-5538</t>
  </si>
  <si>
    <t>José Boiteux</t>
  </si>
  <si>
    <t>LO 712/2007</t>
  </si>
  <si>
    <t>(47)3352-7181</t>
  </si>
  <si>
    <t>Jupiá</t>
  </si>
  <si>
    <t xml:space="preserve"> Secretaria de Agricultura e Meio Ambiente / agriculturaadm@jupia.sc.gov.br</t>
  </si>
  <si>
    <t>(49) 3341-0000 - Ramal 228 / (49) 99974-1426</t>
  </si>
  <si>
    <t>Lacerdópolis</t>
  </si>
  <si>
    <t>LC 40/2008</t>
  </si>
  <si>
    <t>Secretaria de Agricultura e Meio Ambiente / agricultura@lacerdopolis.sc.gov.br</t>
  </si>
  <si>
    <t>(49) 3552-0079</t>
  </si>
  <si>
    <t>LC 523/2018</t>
  </si>
  <si>
    <t>LC 22/95; LC 404/2012</t>
  </si>
  <si>
    <t>LO 1732/1991; LC 59/1997; tem tb projeto de lei de um parque que nunca foi aprovado</t>
  </si>
  <si>
    <t>PL 0018/2007 (nunca virou lei)</t>
  </si>
  <si>
    <t>Secretaria Municipal de Serviços Públicos e Meio Ambiente / meioambiente@lages.sc.gov.br</t>
  </si>
  <si>
    <t>(49) 3019-7472</t>
  </si>
  <si>
    <t>Lei 2293/2022</t>
  </si>
  <si>
    <t>Lei 1139/2006</t>
  </si>
  <si>
    <t>Fundação Lagunense de Meio Ambiente – FLAMA / protocoloflama@laguna.sc.gov.br</t>
  </si>
  <si>
    <t>Lajeado Grande</t>
  </si>
  <si>
    <t>Secretaria Municipal de Agricultura, Fomento Agropecuário e Meio Ambiente / agricultura@lajeadogrande.sc.gov.br</t>
  </si>
  <si>
    <t>(49) 3355-0009</t>
  </si>
  <si>
    <t>Laurentino</t>
  </si>
  <si>
    <t>Lei 1103/2010</t>
  </si>
  <si>
    <t>? (tem um conselho - COMAM)</t>
  </si>
  <si>
    <t>(47) 3546-1743</t>
  </si>
  <si>
    <t>Lauro Muller</t>
  </si>
  <si>
    <t>LEI 1549/2008</t>
  </si>
  <si>
    <t>Lei 1879/2015</t>
  </si>
  <si>
    <t>Lei 467/1981</t>
  </si>
  <si>
    <t>Dec 70/2008, Lei 1506/2008</t>
  </si>
  <si>
    <t>Lei 1507/2008</t>
  </si>
  <si>
    <t>Lei 2291/2023</t>
  </si>
  <si>
    <t>Fundação Ambiental Municipal - FAM / fam@lauromuller.sc.gov.br</t>
  </si>
  <si>
    <t>(48) 3464-3122</t>
  </si>
  <si>
    <t>Lebon Régis</t>
  </si>
  <si>
    <t>LC 68/2010</t>
  </si>
  <si>
    <t>LO 1553/2016</t>
  </si>
  <si>
    <t>Secretaria de Agricultura, Pecuária, Piscicultura e Meio Ambiente / agricultura@lebonregis.sc.gov.br</t>
  </si>
  <si>
    <t>(49) 3247-0056</t>
  </si>
  <si>
    <t>Leoberto Leal</t>
  </si>
  <si>
    <t>LO 1676/2024</t>
  </si>
  <si>
    <t>Secretaria de Agricultura, Turismo e Meio Ambiente / agricultura@leobertoleal.sc.gov.br</t>
  </si>
  <si>
    <t>(48) 3268-1211</t>
  </si>
  <si>
    <t>Lindóia do Sul</t>
  </si>
  <si>
    <t>LC 212/2013</t>
  </si>
  <si>
    <t>LC 214/2013</t>
  </si>
  <si>
    <t>LC 152/2010; LC 156/2010</t>
  </si>
  <si>
    <t>(49) 3446-1177</t>
  </si>
  <si>
    <t>Lontras</t>
  </si>
  <si>
    <t>LC 114/2023</t>
  </si>
  <si>
    <t>Secretaria Municipal de Desenvolvimento Rural e Meio Ambiente / agricultura@lontras.sc.gov.br</t>
  </si>
  <si>
    <t>(47) 3523-0226</t>
  </si>
  <si>
    <t>Luiz Alves</t>
  </si>
  <si>
    <t>LC 12/2018</t>
  </si>
  <si>
    <t>LO 2014/2023</t>
  </si>
  <si>
    <t>Secretaria de Agricultura e Meio Ambiente / agricultura@luizalves.sc.gov.br</t>
  </si>
  <si>
    <t>(47) 3377-8640</t>
  </si>
  <si>
    <t>Luzerna</t>
  </si>
  <si>
    <t>LO 1374/2015</t>
  </si>
  <si>
    <t>Subsecretaria de Agropecuária e Meio Ambiente</t>
  </si>
  <si>
    <t>(49) 3551-4799</t>
  </si>
  <si>
    <t>LO 828/2016</t>
  </si>
  <si>
    <t>(49) 3574-2015</t>
  </si>
  <si>
    <t>Mafra</t>
  </si>
  <si>
    <t>LC 18/2006</t>
  </si>
  <si>
    <t>Secretaria Municipal de Meio Ambiente e Desenvolvimento Urbano</t>
  </si>
  <si>
    <t>(47) 3641-4020</t>
  </si>
  <si>
    <t>(secretário é um coronel do exército)</t>
  </si>
  <si>
    <t>Secretaria de Agricultura e Meio Ambiente / agricultura@majorgercino.sc.gov.br</t>
  </si>
  <si>
    <t>(48) 3273-1122</t>
  </si>
  <si>
    <t>Major Vieira</t>
  </si>
  <si>
    <t>Secretaria Municipal de Agricultura, Pecuária e Meio Ambiente / agricultura@majorvieira.sc.gov.br</t>
  </si>
  <si>
    <t>(47) 3655-1111</t>
  </si>
  <si>
    <t>LC 53/2016</t>
  </si>
  <si>
    <t>Lei 942/2013</t>
  </si>
  <si>
    <t>Lei 1373/2023 *SNUC</t>
  </si>
  <si>
    <t>(48) 3523-0420</t>
  </si>
  <si>
    <t>Maravilha</t>
  </si>
  <si>
    <t>LC 95/2016</t>
  </si>
  <si>
    <t>LO 1327/1988; LO 2943/2004</t>
  </si>
  <si>
    <t>Departamento de Meio Ambiente e Bem Estar Animal / meioambiente@maravilha.sc.gov.br</t>
  </si>
  <si>
    <t>(49) 3664-4030 R. 2 / (49) 99909-4065</t>
  </si>
  <si>
    <t>Marema</t>
  </si>
  <si>
    <t>(49) 3354-0222</t>
  </si>
  <si>
    <t>Massaranduba</t>
  </si>
  <si>
    <t>LC 125/2018</t>
  </si>
  <si>
    <t>LO 1480/2012</t>
  </si>
  <si>
    <t>Lei 2001/2019</t>
  </si>
  <si>
    <t>LO 2368/2023; Dec 5318/2024</t>
  </si>
  <si>
    <t xml:space="preserve">(47) 3379-4600  </t>
  </si>
  <si>
    <t>Matos Costa</t>
  </si>
  <si>
    <t>LC 25/2012</t>
  </si>
  <si>
    <t>(49) 3572-1111</t>
  </si>
  <si>
    <t>Meleiro</t>
  </si>
  <si>
    <t>LO 1775/2018</t>
  </si>
  <si>
    <t>Secretaria de Agricultura, Meio Ambiente e Desenvolvimento Econômico</t>
  </si>
  <si>
    <t>(48) 3537-8400 / (48)35371164</t>
  </si>
  <si>
    <t>Mirim Doce</t>
  </si>
  <si>
    <t>LC 56/2008</t>
  </si>
  <si>
    <t>Secretaria de Agricultura, Meio Ambiente e Pesca / agricultura@mirimdoce.sc.gov.br</t>
  </si>
  <si>
    <t>(47) 3565 -0252</t>
  </si>
  <si>
    <t>Modelo</t>
  </si>
  <si>
    <t>LO 2653/2024</t>
  </si>
  <si>
    <t>(49) 3365-3137</t>
  </si>
  <si>
    <t>Mondaí</t>
  </si>
  <si>
    <t>LC 75/2021; Dec 5575/2021; LC 91/2023; Dec 6137/2024</t>
  </si>
  <si>
    <t>(49) 3674-3153</t>
  </si>
  <si>
    <t>Monte Carlo</t>
  </si>
  <si>
    <t>LO 1133/2018</t>
  </si>
  <si>
    <t>Secretaria Municipal de Desenvolvimento Urbano e Meio Ambiente / meioambiente@montecarlo.sc.gov.br</t>
  </si>
  <si>
    <t xml:space="preserve">(49) 3546-0212 </t>
  </si>
  <si>
    <t>Monte Castelo</t>
  </si>
  <si>
    <t xml:space="preserve">Secretaria de Agricultura, Fomento, Agropecuária e Meio Ambiente </t>
  </si>
  <si>
    <t>(47) 3654-0166</t>
  </si>
  <si>
    <t>Morro da Fumaça</t>
  </si>
  <si>
    <t>Lei 1327/2009</t>
  </si>
  <si>
    <t>Fundação Municipal do Meio Ambiente de Morro da Fumaça - FUMAF / protocolofumaf@morrodafumaca.sc.gov.br</t>
  </si>
  <si>
    <t xml:space="preserve">(48) 3434-4497 </t>
  </si>
  <si>
    <t>Morro Grande</t>
  </si>
  <si>
    <t>Secretaria de Agricultura e Meio Ambiente / agricultura@morrogrande.sc.gov.br</t>
  </si>
  <si>
    <t>(48) 35440016</t>
  </si>
  <si>
    <t>Navegantes</t>
  </si>
  <si>
    <t>LC 117/2011</t>
  </si>
  <si>
    <t>Nova Erechim</t>
  </si>
  <si>
    <t>LC 146/2022</t>
  </si>
  <si>
    <t>(49) 3333-3100</t>
  </si>
  <si>
    <t>Nova Itaberaba</t>
  </si>
  <si>
    <t>LC 1394/2002</t>
  </si>
  <si>
    <t>Secretaria de Agricultura e Meio Ambiente / agricultura@novaitaberaba.sc.gov.br</t>
  </si>
  <si>
    <t>(49)3327-0165</t>
  </si>
  <si>
    <t>Nova Trento</t>
  </si>
  <si>
    <t>Lei 2645/2017</t>
  </si>
  <si>
    <t>LC 701/2022</t>
  </si>
  <si>
    <t>Secretaria de Agricultura e Meio Ambiente / agricultura@novatrento.sc.gov.br</t>
  </si>
  <si>
    <t>(48) 3267-3280</t>
  </si>
  <si>
    <t>Lei 1706/2004</t>
  </si>
  <si>
    <t>Lei 2321/2013</t>
  </si>
  <si>
    <t>Fundação Municipal do Meio Ambiente - FUNDAVE / fundave@novaveneza.sc.gov.br</t>
  </si>
  <si>
    <t>(48) 3436-5273</t>
  </si>
  <si>
    <t>Novo Horizonte</t>
  </si>
  <si>
    <t>LC 66/2023</t>
  </si>
  <si>
    <t>Secretaria de Agricultura e Meio Ambiente / agricultura@novohorizonte.sc.gov.br</t>
  </si>
  <si>
    <t xml:space="preserve">(49) 3362-0024  </t>
  </si>
  <si>
    <t>Orleans</t>
  </si>
  <si>
    <t>LC 2147/2007</t>
  </si>
  <si>
    <t>Fundação Ambiental Municipal de Orleans - FAMOR / secretaria@famor.sc.gov.br</t>
  </si>
  <si>
    <t>(48) 3886-0164</t>
  </si>
  <si>
    <t>Otacílio Costa</t>
  </si>
  <si>
    <t>Lei 209/86</t>
  </si>
  <si>
    <t>LO 2565/2018 desapropriação para criar parque</t>
  </si>
  <si>
    <t>Secretaria de Meio Ambiente / ambiente1@otaciliocosta.sc.gov.br</t>
  </si>
  <si>
    <t xml:space="preserve">(49) 3221-8041 / (49) 3275-1943 </t>
  </si>
  <si>
    <t>Ouro</t>
  </si>
  <si>
    <t>LO 2456/2016; LO 2486/2017</t>
  </si>
  <si>
    <t>Secretaria de Agricultura e Meio Ambiente / agricultura@ouro.sc.gov.br</t>
  </si>
  <si>
    <t>(49) 3555-7031</t>
  </si>
  <si>
    <t>Ouro Verde</t>
  </si>
  <si>
    <t>(49) 3447-0007</t>
  </si>
  <si>
    <t>Paial</t>
  </si>
  <si>
    <t>LC 66/2022</t>
  </si>
  <si>
    <t>LO 532/2012</t>
  </si>
  <si>
    <t>(49) 3451-0045</t>
  </si>
  <si>
    <t>Painel</t>
  </si>
  <si>
    <t>LO 123/2002</t>
  </si>
  <si>
    <t>Secretaria Municipal de Planejamento e Meio Ambiente / planejamento@painel.sc.gov.br</t>
  </si>
  <si>
    <t>(49) 3235-0034</t>
  </si>
  <si>
    <t>Lei 15/93</t>
  </si>
  <si>
    <t>Lei 1692/2003</t>
  </si>
  <si>
    <t>Fundação Cambirela do Meio Ambiente - FCAM / fcam@palhoca.sc.gov.br</t>
  </si>
  <si>
    <t xml:space="preserve">(48) 3220-0300 </t>
  </si>
  <si>
    <t>Palma Sola</t>
  </si>
  <si>
    <t>C 60/2021</t>
  </si>
  <si>
    <t>Secretaria de Agricultura e Meio Ambiente / agricultura@palmasola.sc.gov.br</t>
  </si>
  <si>
    <t>(49) 3652-3220</t>
  </si>
  <si>
    <t>Palmeira</t>
  </si>
  <si>
    <t>(49) 3238-0050</t>
  </si>
  <si>
    <t>LC 23/2009</t>
  </si>
  <si>
    <t>LO 3426/2010; LO 4080/2020</t>
  </si>
  <si>
    <t>Secretaria de Agricultura e Meio Ambiente  / agricultura@palmitos.sc.gov.br</t>
  </si>
  <si>
    <t>(49) 3647-2391</t>
  </si>
  <si>
    <t>Papanduva</t>
  </si>
  <si>
    <t>LC 97/2023</t>
  </si>
  <si>
    <t>Lei 1545/2000</t>
  </si>
  <si>
    <t>Lei 40/2003</t>
  </si>
  <si>
    <t>LO 2344/2022</t>
  </si>
  <si>
    <t>(47) 3653-2166</t>
  </si>
  <si>
    <t>Paraíso</t>
  </si>
  <si>
    <t>LO 16/2019</t>
  </si>
  <si>
    <t>(49) 3627-0090</t>
  </si>
  <si>
    <t>Passo de Torres</t>
  </si>
  <si>
    <t>LC 13/2011</t>
  </si>
  <si>
    <t>Secretaria Municipal do Meio Ambiente / meioambiente@prefeitura-passo.sc.gov.br</t>
  </si>
  <si>
    <t>(48) 3548-0035 – ramal 241</t>
  </si>
  <si>
    <t>Passos Maia</t>
  </si>
  <si>
    <t>(49) 3437 0010</t>
  </si>
  <si>
    <t>(48) 3253-0161</t>
  </si>
  <si>
    <t>LC 28/2021</t>
  </si>
  <si>
    <t>Fundacao Municipal do Meio Ambiente de Pedras Grandes - Fumpeg</t>
  </si>
  <si>
    <t>(48) 3659-3000</t>
  </si>
  <si>
    <t>Penha</t>
  </si>
  <si>
    <t>LC 2/2007</t>
  </si>
  <si>
    <t>Lei 2672 e 2673/2013</t>
  </si>
  <si>
    <t>Lei 2894/2017</t>
  </si>
  <si>
    <t>LC 139/2020</t>
  </si>
  <si>
    <t>Lei 3298/2022 (animais domesticos)</t>
  </si>
  <si>
    <t>Lei 2385/2010, LC 3/98</t>
  </si>
  <si>
    <t>Dec 3624/2020</t>
  </si>
  <si>
    <t>Lei 1702/2000, Lei 3358/2023,</t>
  </si>
  <si>
    <t>Instituto Municipal do Meio Ambiente de Penha - IMAP</t>
  </si>
  <si>
    <t>(47) 3345-0200</t>
  </si>
  <si>
    <t>Dec 3621/2020 (DECLARA DE UTILIDADE PÚBLICA E INTERESSE SOCIAL A INTERVENÇÃO EM ÁREA DE PRESERVAÇÃO PERMANENTE - APP, DA ÁREA TOTAL DE 2.131,94 METROS QUADRADOS, DO IMOVEL DE PROPRIEDADE DO MUNICÍPIO DE PENHA E DÁ OUTRAS PROVIDÊNCIAS).</t>
  </si>
  <si>
    <t>Peritiba</t>
  </si>
  <si>
    <t>LC 67/2017</t>
  </si>
  <si>
    <t>LC 146/2024; LC 150/2024</t>
  </si>
  <si>
    <t>Departamento do Meio Ambiente</t>
  </si>
  <si>
    <t>(49) 3453-1122</t>
  </si>
  <si>
    <t>Pescaria Brava</t>
  </si>
  <si>
    <t>Secretaria de Desenvolvimento Econômico, Agropecuário, Pesca e Meio Ambiente / agricultura@pescariabrava.sc.gov.br</t>
  </si>
  <si>
    <t>(48) 3647-6312</t>
  </si>
  <si>
    <t>Petrolândia</t>
  </si>
  <si>
    <t>Secretaria Municipal da Agricultura, Indústria, Comércio e Meio Ambiente</t>
  </si>
  <si>
    <t>(47) 3536 1151</t>
  </si>
  <si>
    <t>Balneário Piçarras</t>
  </si>
  <si>
    <t>LC 163/2019</t>
  </si>
  <si>
    <t>LC 194/2022</t>
  </si>
  <si>
    <t>Lei 914/2022</t>
  </si>
  <si>
    <t>Lei 180/2018, Dec 54/2018</t>
  </si>
  <si>
    <t>LC 174/2021</t>
  </si>
  <si>
    <t>lei 61/2009</t>
  </si>
  <si>
    <t>Dec 160/2020, Lei 941/2023</t>
  </si>
  <si>
    <t>Lei 936/2023, LC 217/2022</t>
  </si>
  <si>
    <t xml:space="preserve">Instituto do Meio Ambiente </t>
  </si>
  <si>
    <t>(47) 3345-3511</t>
  </si>
  <si>
    <t>Dec 469/2022(DECLARA DE UTILIDADE PÚBLICA E DE INTERESSE SOCIAL, PARA FINS DE INTERVENÇÃO EM ÁREA DE PRESERVAÇÃO PERMANENTE - APP AS ATIVIDADES NÁUTICAS E AS ESTRUTURAS DE APOIO NÁUTICO NO MUNICÍPIO DE BALNEÁRIO PIÇARRAS/SC); DEC 456/2022 (Declara de Interesse Social a intervenção em área de preservação permanente necessária à construção da sede própria do CRAS e Conselho Tutelar nos imóveis de matrícula nº 55.170 e 55.169 e de propriedade do Município de Balneário Piçarras); Dec 148/2021 (DECLARA DE UTILIDADE PÚBLICA A INTERVENÇÃO EM ÁREA DE PRESERVAÇÃO PERMANENTE NECESSÁRIA ÀS ATIVIDADES DE UNIDADE DE COMPOSTAGEM DE RESÍDUOS ORGÂNICOS DOMICILIARES)</t>
  </si>
  <si>
    <t>Pinhalzinho</t>
  </si>
  <si>
    <t>LC 144/2012</t>
  </si>
  <si>
    <t>Secretaria de Desenvolvimento Rural e Meio Ambiente / meioambiente@pinhalzinho.sc.gov.br</t>
  </si>
  <si>
    <t>(49) 3366-6600</t>
  </si>
  <si>
    <t>Pinheiro Preto</t>
  </si>
  <si>
    <t>Lei 1132/2004</t>
  </si>
  <si>
    <t>LC 378/2024</t>
  </si>
  <si>
    <t>(49) 3562-2000</t>
  </si>
  <si>
    <t>Piratuba</t>
  </si>
  <si>
    <t>LO 1121/2011; LO 1108/2010</t>
  </si>
  <si>
    <t>Secretaria de Agricultura e Meio Ambiente / agricultura@piratuba.com.br</t>
  </si>
  <si>
    <t>(49) 3553-1017</t>
  </si>
  <si>
    <t>Planalto Alegre</t>
  </si>
  <si>
    <t>LC 23/2010</t>
  </si>
  <si>
    <t>Secretaria Municipal de Meio Ambiente</t>
  </si>
  <si>
    <t>(49) 3335-0066</t>
  </si>
  <si>
    <t>Pomerode</t>
  </si>
  <si>
    <t>LC 162/2008</t>
  </si>
  <si>
    <t>LC 271/2014</t>
  </si>
  <si>
    <t>Dec 2118/2005; Dec 3703/2019</t>
  </si>
  <si>
    <t>LC 368/2019; LC 491/2023</t>
  </si>
  <si>
    <t xml:space="preserve">Diretoria de Meio Ambiente / meioambiente@pomerode.sc.gov.br </t>
  </si>
  <si>
    <t>(47) 3387-7249</t>
  </si>
  <si>
    <t>Ponte Alta</t>
  </si>
  <si>
    <t>(49) 3248-0543</t>
  </si>
  <si>
    <t>Ponte Alta do Norte</t>
  </si>
  <si>
    <t>(49) 3254-1675</t>
  </si>
  <si>
    <t>Ponte Serrada</t>
  </si>
  <si>
    <t>LO 2528/2022</t>
  </si>
  <si>
    <t>(49) 3435-1211</t>
  </si>
  <si>
    <t>Porto Belo</t>
  </si>
  <si>
    <t>Lei 426/84</t>
  </si>
  <si>
    <t>LC 33/2011</t>
  </si>
  <si>
    <t>Lei 1468/2006</t>
  </si>
  <si>
    <t>Lei 419/1984</t>
  </si>
  <si>
    <t>Lei 1950/2011</t>
  </si>
  <si>
    <t>Lei 1801/2010</t>
  </si>
  <si>
    <t>Lei 2565/2017; Dec 2957/2021, Dec 2969/2021, Dec 3195/2022, Dec 3323/2022, Dec 3455/2022</t>
  </si>
  <si>
    <t>Dec 1380/2015</t>
  </si>
  <si>
    <t>Dec 395/2008</t>
  </si>
  <si>
    <t>Fundação Municipal do Meio Ambiente de Porto Belo - FAMAP</t>
  </si>
  <si>
    <t>(47) 3098-7737</t>
  </si>
  <si>
    <t>LC 194/2022 (...BEM COMO DISPÕE SOBRE A DELIMITAÇÃO DE NÚCLEOS URBANOS INFORMAIS PREVIAMENTE IDENTIFICADOS QUE OCUPAM ÁREA DE PRESERVAÇÃO PERMANENTE AO LONGO DOS CURSOS D`ÁGUA NATURAIS DO MUNICÍPIO DE PORTO BELO).</t>
  </si>
  <si>
    <t>Lei 4954/2023</t>
  </si>
  <si>
    <t>LO 2140/1995; LO 4528/2018</t>
  </si>
  <si>
    <t>LC 29/2013</t>
  </si>
  <si>
    <t>Secretaria de Desenvolvimento Econômico Sustentável e Meio-Ambiente</t>
  </si>
  <si>
    <t>(42) 3523-1155</t>
  </si>
  <si>
    <t>Pouso Redondo</t>
  </si>
  <si>
    <t>Secretaria de Planejamento e Meio Ambiente</t>
  </si>
  <si>
    <t>(47) 3545-8729</t>
  </si>
  <si>
    <t>Praia Grande</t>
  </si>
  <si>
    <t>LC 17/2016</t>
  </si>
  <si>
    <t>Secretaria de Agricultura, Meio Ambiente, Indústria e Comércio</t>
  </si>
  <si>
    <t>(48) 3532-0132</t>
  </si>
  <si>
    <t>Presidente Castello Branco</t>
  </si>
  <si>
    <t>LC 107/2013</t>
  </si>
  <si>
    <t>Secretaria de Agricultura e Meio Ambiente / agricultura@castellobranco.sc.gov.br</t>
  </si>
  <si>
    <t>(49) 3457-1007</t>
  </si>
  <si>
    <t>Presidente Getúlio</t>
  </si>
  <si>
    <t>(47) 3352-5500</t>
  </si>
  <si>
    <t>Presidente Nereu</t>
  </si>
  <si>
    <t>LC 75/2020</t>
  </si>
  <si>
    <t>LO 1403/2013</t>
  </si>
  <si>
    <t>Secretaria Municipal da Agricultura e Meio Ambiente / meioambiente@presidentenereu.sc.gov.br</t>
  </si>
  <si>
    <t>(47) 3362-1175</t>
  </si>
  <si>
    <t>Princesa</t>
  </si>
  <si>
    <t>LC 9/2010</t>
  </si>
  <si>
    <t>LC 30/2016</t>
  </si>
  <si>
    <t>Secretaria da Agricultura e Meio Ambiente /agricultura@princesa.sc.gov.br</t>
  </si>
  <si>
    <t>(49) 36410038 / 36410195</t>
  </si>
  <si>
    <t>Quilombo</t>
  </si>
  <si>
    <t>Secretaria Municipal da Agricultura e Meio Ambiente /  agricultura@quilombo.sc.gov.br</t>
  </si>
  <si>
    <t>(49) 3346-3285</t>
  </si>
  <si>
    <t>LC 2/2008</t>
  </si>
  <si>
    <t>LC 15/2022</t>
  </si>
  <si>
    <t>Secretaria de Agricultura, Pecuária e Meio Ambiente / agricultura@ranchoqueimado.sc.gov.br</t>
  </si>
  <si>
    <t>(48) 3275-3109</t>
  </si>
  <si>
    <t>Rio das Antas</t>
  </si>
  <si>
    <t>LO 1355/2006</t>
  </si>
  <si>
    <t>Secretaria Municipal de Agricultura e Meio Ambiente de Rio das Antas</t>
  </si>
  <si>
    <t xml:space="preserve">(49) 3564-0125 </t>
  </si>
  <si>
    <t>Rio do Campo</t>
  </si>
  <si>
    <t>LC 6/2010</t>
  </si>
  <si>
    <t>Secretaria da Agricultura, Desenvolvimento Econômico e Meio Ambiente</t>
  </si>
  <si>
    <t>(47) 3564-8100</t>
  </si>
  <si>
    <t>Rio do Oeste</t>
  </si>
  <si>
    <t>(47) 3543-0261</t>
  </si>
  <si>
    <t>Rio dos Cedros</t>
  </si>
  <si>
    <t>Secretaria de Planejamento e Meio Ambiente / planejamento@riodoscedros.sc.gov.br</t>
  </si>
  <si>
    <t>(47) 3380-5802</t>
  </si>
  <si>
    <t>Rio do Sul</t>
  </si>
  <si>
    <t>LC 163/2006</t>
  </si>
  <si>
    <t>Lei 6477/2023</t>
  </si>
  <si>
    <t>LO 1059/76; LC 338/2016</t>
  </si>
  <si>
    <t>LC 338/2016</t>
  </si>
  <si>
    <t>LC 27/97; Dec 151/2000</t>
  </si>
  <si>
    <t>Lei 6264/2021</t>
  </si>
  <si>
    <t>(47)3300-0611</t>
  </si>
  <si>
    <t>Rio Fortuna</t>
  </si>
  <si>
    <t>LO1572/2014</t>
  </si>
  <si>
    <t>Secretaria de Agricultura e Meio Ambiente / agricultura@riofortunas.sc.gov.br</t>
  </si>
  <si>
    <t>(48) 3653-1847</t>
  </si>
  <si>
    <t>LC 35/2006</t>
  </si>
  <si>
    <t>LO 1447/2002</t>
  </si>
  <si>
    <t>LO 3319/2020; LO 3371/2020</t>
  </si>
  <si>
    <t>LM 1095/98, LM 1093/98</t>
  </si>
  <si>
    <t>LO 3319/2020; DM 13824/2019</t>
  </si>
  <si>
    <t>Secretaria de Planejamento e Meio Ambiente / planejamento@rionegrinho.sc.gov.br</t>
  </si>
  <si>
    <t>47) 3646-3637</t>
  </si>
  <si>
    <t>Rio Rufino</t>
  </si>
  <si>
    <t xml:space="preserve">Secretaria de Agricultura e Meio Ambiente / </t>
  </si>
  <si>
    <t>(49) 3279-0012</t>
  </si>
  <si>
    <t>Riqueza</t>
  </si>
  <si>
    <t>LO 502/2010; LO 513/2010</t>
  </si>
  <si>
    <t>(49) 3675-3200</t>
  </si>
  <si>
    <t>Rodeio</t>
  </si>
  <si>
    <t>LC 125/2023</t>
  </si>
  <si>
    <t>LC 127/2023</t>
  </si>
  <si>
    <t>Secretaria de Agricultura e Meio Ambiente / agricultura@rodeio.sc.gov.br</t>
  </si>
  <si>
    <t>(47) 3384-0161</t>
  </si>
  <si>
    <t>Romelândia</t>
  </si>
  <si>
    <t>LC 05/2023</t>
  </si>
  <si>
    <t>Secretaria de Agricultura e Meio Ambiente / agricultura@romelandia.sc.gov.br</t>
  </si>
  <si>
    <t>(49) 3624-1000</t>
  </si>
  <si>
    <t>Salete</t>
  </si>
  <si>
    <t>LO 2009/2022</t>
  </si>
  <si>
    <t>Secretaria de Agricultura e Meio Ambiente / agricultura@salete.sc.gov.br</t>
  </si>
  <si>
    <t>(47) 3563-0360</t>
  </si>
  <si>
    <t>Saltinho</t>
  </si>
  <si>
    <t>(49) 3656-0044</t>
  </si>
  <si>
    <t>LC 12/2010</t>
  </si>
  <si>
    <t>LO 994/2000</t>
  </si>
  <si>
    <t>LO 1207/2006</t>
  </si>
  <si>
    <t>Secretário de Agropecuária e Meio Ambiente / agricultura@saltoveloso.sc.gov.br</t>
  </si>
  <si>
    <t>(49)3536-0858</t>
  </si>
  <si>
    <t>Sangão</t>
  </si>
  <si>
    <t>LC 124/2023</t>
  </si>
  <si>
    <t>LO 558/2010</t>
  </si>
  <si>
    <t>Instituto Municipal de Meio Ambiente de Sangão - IMASA / imasa@sangao.sc.gov.br</t>
  </si>
  <si>
    <t>(48) 3655-0287</t>
  </si>
  <si>
    <t>Santa Cecília</t>
  </si>
  <si>
    <t>Secretaria de Turismo, Lazer e Meio Ambiente</t>
  </si>
  <si>
    <t>(49) 3244-2032</t>
  </si>
  <si>
    <t>Santa Helena</t>
  </si>
  <si>
    <t>Secretaria Municipal de Agricultura e Meio Ambiente / agricultura@santahelena.sc.gov.br</t>
  </si>
  <si>
    <t>(49) 3633-0207</t>
  </si>
  <si>
    <t>Santa Rosa de Lima</t>
  </si>
  <si>
    <t>LEI 2475/2023</t>
  </si>
  <si>
    <t>(48) 3654-3000</t>
  </si>
  <si>
    <t>Santa Rosa do Sul</t>
  </si>
  <si>
    <t>(48) 3534-1113</t>
  </si>
  <si>
    <t>Santa Terezinha</t>
  </si>
  <si>
    <t>(47) 3556-0044</t>
  </si>
  <si>
    <t>Santa Terezinha do Progresso</t>
  </si>
  <si>
    <t>LC 67/2023</t>
  </si>
  <si>
    <t>Secretaria de Agricultura, Pecuária e Meio Ambiente / agricultura@staterezinhaprogresso.sc.gov.br</t>
  </si>
  <si>
    <t>(49) 3657-0281 / (49) 3657-0223</t>
  </si>
  <si>
    <t>Santiago do Sul</t>
  </si>
  <si>
    <t>Secretaria Municipal da Agricultura e Meio Ambiente / agricultura@santiagodosul.sc.gov.br</t>
  </si>
  <si>
    <t>(49) 3345-3006</t>
  </si>
  <si>
    <t>Santo Amaro da Imperatriz</t>
  </si>
  <si>
    <t>Secretaria de Desenvolvimento Econômico e Meio Ambiente / meioambiente@santoamaro.sc.gov.br</t>
  </si>
  <si>
    <t>(48) 3245-4341</t>
  </si>
  <si>
    <t>São Bernardino</t>
  </si>
  <si>
    <t>LC 86/2023</t>
  </si>
  <si>
    <t>Secretaria de Agricultura e Meio Ambiente / agricultura@saobernardino.sc.gov.br</t>
  </si>
  <si>
    <t>(49)3654-0099</t>
  </si>
  <si>
    <t>LC 10/2023</t>
  </si>
  <si>
    <t>(47) 3635-4234 / 3635-6084 / 3635-4843</t>
  </si>
  <si>
    <t>São Bonifácio</t>
  </si>
  <si>
    <t>LC 93/2010</t>
  </si>
  <si>
    <t>LO 671/1991</t>
  </si>
  <si>
    <t>LO 1573/2023</t>
  </si>
  <si>
    <t>Secretaria Municipal do Desenvolvimento Agropecuário e Meio Ambiente / agricultura@saobonifacio.sc.gov.br</t>
  </si>
  <si>
    <t>(48) 3252-0243 | 3252-0245 / 98810-6213</t>
  </si>
  <si>
    <t>São Carlos</t>
  </si>
  <si>
    <t>Lei 2007/2023</t>
  </si>
  <si>
    <t>LC 3/2022</t>
  </si>
  <si>
    <t xml:space="preserve">Secretaria Municipal de Agricultura e Meio Ambiente / </t>
  </si>
  <si>
    <t>(49) 3325-3045</t>
  </si>
  <si>
    <t>São Cristovão do Sul</t>
  </si>
  <si>
    <t xml:space="preserve">(49) 3253-1200 / </t>
  </si>
  <si>
    <t>São Domingos</t>
  </si>
  <si>
    <t>Secretaria de Agricultura e Meio Ambiente / agricultura@saodomingos.sc.gov.br</t>
  </si>
  <si>
    <t>(49) 3443-0281 (ramal 223)</t>
  </si>
  <si>
    <t>LO 2123/2018</t>
  </si>
  <si>
    <t>Dec 1962/2013</t>
  </si>
  <si>
    <t>Dec 3842/2022</t>
  </si>
  <si>
    <t>Secretaria Municipal de Meio Ambiente / smma@saofranciscodosul.sc.gov.br</t>
  </si>
  <si>
    <t>(47) 3471-2290</t>
  </si>
  <si>
    <t>São João do Oeste</t>
  </si>
  <si>
    <t>LC 45/2023</t>
  </si>
  <si>
    <t>Secretaria de Agricultura e Meio Ambiente / agricultura@saojoao.sc.gov.br</t>
  </si>
  <si>
    <t>(49) 3195-2000</t>
  </si>
  <si>
    <t>LC 67/2019</t>
  </si>
  <si>
    <t>LO 705/81</t>
  </si>
  <si>
    <t>Fundação Municipal de Meio Ambiente - FUMAB / meioambiente@sjbatista.sc.gov.br</t>
  </si>
  <si>
    <t>(48) 99179-0034</t>
  </si>
  <si>
    <t>São João do Itaperiú</t>
  </si>
  <si>
    <t>LC 1/2021</t>
  </si>
  <si>
    <t>LO 1148/2023</t>
  </si>
  <si>
    <t>Secretaria Municipal de Agricultura e Meio Ambiente / secagricultura@pmsji.sc.gov.br</t>
  </si>
  <si>
    <t>(47) 3458-0669</t>
  </si>
  <si>
    <t>São João do Sul</t>
  </si>
  <si>
    <t>LC 15/2013</t>
  </si>
  <si>
    <t>Secretaria Municipal de Cultura, Turismo e Meio Ambiente / deptur@saojoaodosul.sc.gov.br</t>
  </si>
  <si>
    <t>(48) 3539-0113</t>
  </si>
  <si>
    <t>São Joaquim</t>
  </si>
  <si>
    <t>Secretaria de Agricultura e Meio Ambiente / agricultura@saojoaquim.sc.gov.br</t>
  </si>
  <si>
    <t xml:space="preserve">(49) 3233-2775 / 9188-4486 </t>
  </si>
  <si>
    <t>São José</t>
  </si>
  <si>
    <t>Lei 1605/85</t>
  </si>
  <si>
    <t>Lei 1606/85</t>
  </si>
  <si>
    <t>Dec 14096/2020</t>
  </si>
  <si>
    <t>Lei 3336/99</t>
  </si>
  <si>
    <t>Lei 3048/1997</t>
  </si>
  <si>
    <t>LC 66/2015</t>
  </si>
  <si>
    <t>Lei 5798/2019</t>
  </si>
  <si>
    <t>Lei 3752/2001</t>
  </si>
  <si>
    <t>LC 147/2023</t>
  </si>
  <si>
    <t>Lei 2989/1996</t>
  </si>
  <si>
    <t>Lei 4919/2009</t>
  </si>
  <si>
    <t>Fundação Municipal do Meio Ambiente e Desenvolvimento Sustentável - FMADS / adm.fmads@pmsj.sc.gov.br</t>
  </si>
  <si>
    <t>(48) 3288-4313 / 98472-2448</t>
  </si>
  <si>
    <t>São José do Cedro</t>
  </si>
  <si>
    <t>LC 107/2023</t>
  </si>
  <si>
    <t>LO 4718/2018</t>
  </si>
  <si>
    <t>LC 115/2024</t>
  </si>
  <si>
    <t>Secretaria de Agricultura e Meio Ambiente / secagricultura@prefcedro.sc.gov.br</t>
  </si>
  <si>
    <t>(49)3643-6309 R-227</t>
  </si>
  <si>
    <t>(49) 3242-1111</t>
  </si>
  <si>
    <t>São Lourenço do Oeste</t>
  </si>
  <si>
    <t>LC 146/2012</t>
  </si>
  <si>
    <t>LC 325/2023</t>
  </si>
  <si>
    <t>LO 2310/2016</t>
  </si>
  <si>
    <t>(49) 3344-8500</t>
  </si>
  <si>
    <t>São Ludgero</t>
  </si>
  <si>
    <t>(48) 3657 8800</t>
  </si>
  <si>
    <t>São Martinho</t>
  </si>
  <si>
    <t>(46) 3645-6100</t>
  </si>
  <si>
    <t>São Miguel da Boa Vista</t>
  </si>
  <si>
    <t>LC 5/2005</t>
  </si>
  <si>
    <t>(49) 3667-0050</t>
  </si>
  <si>
    <t>LC 2/2011</t>
  </si>
  <si>
    <t>LC 161/2023</t>
  </si>
  <si>
    <t>LO 7354/2016</t>
  </si>
  <si>
    <t>LO 6828/2013; LO 7755/2015; LO 8137/2023; Dec 10360/2024</t>
  </si>
  <si>
    <t>(49) 3631-2000</t>
  </si>
  <si>
    <t>LO 45/97</t>
  </si>
  <si>
    <t>Secretaria da Agricultura e Meio Ambiente / saneamento@pmspa.sc.gov.br</t>
  </si>
  <si>
    <t>(48) 3277-0122</t>
  </si>
  <si>
    <t>LC 135/2023</t>
  </si>
  <si>
    <t>LO 2187/2014; LO 2490/2024</t>
  </si>
  <si>
    <t>Secretaria Municipal da Agricultura, Meio Ambiente e Desenvolvimento Econômico / agricultura@saudades.sc.gov.br</t>
  </si>
  <si>
    <t>(49) 3334-3650</t>
  </si>
  <si>
    <t>Schroeder</t>
  </si>
  <si>
    <t>LC 223/2019</t>
  </si>
  <si>
    <t>Gerência de Gestão Ambiental e Sustentabilidade - GGAS</t>
  </si>
  <si>
    <t>(47) 3374-6536 / 3374-6537</t>
  </si>
  <si>
    <t>LC 73/2016</t>
  </si>
  <si>
    <t>LO 1231/2001</t>
  </si>
  <si>
    <t>LC 152/2024</t>
  </si>
  <si>
    <t>(49) 3452-4123</t>
  </si>
  <si>
    <t>Serra Alta</t>
  </si>
  <si>
    <t>Lei 934/2012</t>
  </si>
  <si>
    <t>LC 54/2022</t>
  </si>
  <si>
    <t>Secretaria de Agricultura e Meio Ambiente / agricultura@serraalta.sc.gov.br</t>
  </si>
  <si>
    <t>(49) 3364-0092</t>
  </si>
  <si>
    <t>Dec 79/23 (em elab)</t>
  </si>
  <si>
    <t>Lei 2087/2013</t>
  </si>
  <si>
    <t>Lei 2088/2013</t>
  </si>
  <si>
    <t xml:space="preserve">LM 1138/96; LM 1080/95; LM 1012/94; LM 1271/99 </t>
  </si>
  <si>
    <t>Fundação do Meio Ambiente de Siderópolis - Famsid / famsid@sideropolis.sc.gov.br</t>
  </si>
  <si>
    <t>(48) 3435-8986</t>
  </si>
  <si>
    <t>Sombrio</t>
  </si>
  <si>
    <t>Lei 1862/2010</t>
  </si>
  <si>
    <t>LC 95/2024</t>
  </si>
  <si>
    <t>LO 2170/2014</t>
  </si>
  <si>
    <t>(48) 3533-5200</t>
  </si>
  <si>
    <t>Sul Brasil</t>
  </si>
  <si>
    <t>LO 1332/2022</t>
  </si>
  <si>
    <t>Secretaria de Agricultura e Meio Ambiente / agricultura@sulbrasil.sc.gov.br</t>
  </si>
  <si>
    <t>(49) 3367-0030</t>
  </si>
  <si>
    <t>Taió</t>
  </si>
  <si>
    <t>LC 262/2021</t>
  </si>
  <si>
    <t>LC 249/2021</t>
  </si>
  <si>
    <t>LC 211/2018</t>
  </si>
  <si>
    <t>Secretaria de Agricultura, Pecuária, Florestas e Meio Ambiente / sec.agricultura@taio.sc.gov.br</t>
  </si>
  <si>
    <t>(47) 3562-8300 / 99118-0786</t>
  </si>
  <si>
    <t>Tangará</t>
  </si>
  <si>
    <t>LC 107/2020</t>
  </si>
  <si>
    <t>LO 1428/1999</t>
  </si>
  <si>
    <t>LC 177/2024; LO 1992/2010</t>
  </si>
  <si>
    <t>Secretaria de Agricultura e Meio Ambiente / agricultura@tangara.sc.gov.br</t>
  </si>
  <si>
    <t>(49) 3532-7455</t>
  </si>
  <si>
    <t>Tigrinhos</t>
  </si>
  <si>
    <t>LC 40/2016</t>
  </si>
  <si>
    <t>Lc 71/2021; LC 85/2023</t>
  </si>
  <si>
    <t>LC 90/2023</t>
  </si>
  <si>
    <t>(49) 3658-0068</t>
  </si>
  <si>
    <t>Tijucas</t>
  </si>
  <si>
    <t>LC 5/2010</t>
  </si>
  <si>
    <t>Secretaria Municipal De Agricultura, Pesca e Meio Ambiente / agricultura@tijucas.sc.gov.br</t>
  </si>
  <si>
    <t>(48) 3263-1133</t>
  </si>
  <si>
    <t>Timbé do Sul</t>
  </si>
  <si>
    <t>LC 4/2022</t>
  </si>
  <si>
    <t>(48) 3536-1085</t>
  </si>
  <si>
    <t>LC 335/2007</t>
  </si>
  <si>
    <t>LC 336/2007</t>
  </si>
  <si>
    <t>LC 402/2011;</t>
  </si>
  <si>
    <t>(47) 3382-3655 – Ramal: 7147</t>
  </si>
  <si>
    <t>Timbó Grande</t>
  </si>
  <si>
    <t>Secretaria de Turismo, Cultura, Lazer e Meio Ambiente</t>
  </si>
  <si>
    <t>(49) 3252-1214</t>
  </si>
  <si>
    <t>Três Barras</t>
  </si>
  <si>
    <t>Secretaria de Meio Ambiente / meioambiente@tresbarras.sc.gov.br</t>
  </si>
  <si>
    <t>(47) 3623-0213</t>
  </si>
  <si>
    <t>LC 1056/2023</t>
  </si>
  <si>
    <t>Lei 642/2012</t>
  </si>
  <si>
    <t>LO 107/98</t>
  </si>
  <si>
    <t>Fundação Municipal de Meio Ambiente - FUNTREV / funtrev@treviso.sc.gov.br</t>
  </si>
  <si>
    <t>(48) 3469-9000 / 3469-9058 / 99221-5403</t>
  </si>
  <si>
    <t>Treze de Maio</t>
  </si>
  <si>
    <t>LC 734/2008</t>
  </si>
  <si>
    <t>Secretaria de Agricultura, Meio Ambiente, Indústria e Comércio / agricultura@trezedemaio.sc.gov.br</t>
  </si>
  <si>
    <t>(48) 3625-0879</t>
  </si>
  <si>
    <t>Secretaria de Agricultura e Meio Ambiente / agricultura@trezetilias.sc.gov.br</t>
  </si>
  <si>
    <t>(49) 3537-0166</t>
  </si>
  <si>
    <t>Trombudo Central</t>
  </si>
  <si>
    <t>Secretaria Municipal da Agricultura e Meio Ambiente / agricultura@trombudocentral.sc.gov.br</t>
  </si>
  <si>
    <t>(47) 3544-0303</t>
  </si>
  <si>
    <t>Tubarão</t>
  </si>
  <si>
    <t>LC 84/2013</t>
  </si>
  <si>
    <t>LC 86/2013</t>
  </si>
  <si>
    <t>Dec 5994/2021</t>
  </si>
  <si>
    <t>Lei 3859/2013</t>
  </si>
  <si>
    <t>Lei 955/80</t>
  </si>
  <si>
    <t>LC 39/2001; LC 51/2011</t>
  </si>
  <si>
    <t>Lei 3732/2012</t>
  </si>
  <si>
    <t>Lei 5378/2020</t>
  </si>
  <si>
    <t>Lei 4962/2018</t>
  </si>
  <si>
    <t>Dec 4016/2017</t>
  </si>
  <si>
    <t>Fundação Municipal de Meio Ambiente de Tubarão (Funat) / meioambiente@tubarao.sc.gov.br</t>
  </si>
  <si>
    <t>(48) 3621-9055 / Ramal: 9055</t>
  </si>
  <si>
    <t>Tunápolis</t>
  </si>
  <si>
    <t>Lei 1404/2019; LO 1573/2023</t>
  </si>
  <si>
    <t>Lei 1404/2019</t>
  </si>
  <si>
    <t>Secretaria Municipal de Agricultura e Meio Ambiente / agricultura@tunapolis.sc.gov.br</t>
  </si>
  <si>
    <t>(49) 3632-1002</t>
  </si>
  <si>
    <t>Turvo</t>
  </si>
  <si>
    <t>LO 607/1984</t>
  </si>
  <si>
    <t>LO 691/1988</t>
  </si>
  <si>
    <t>Secretaria Municipal de Agricultura e Meio Ambiente / agricultura@turvo.sc.gov.br</t>
  </si>
  <si>
    <t>(48) 3525-8100</t>
  </si>
  <si>
    <t>União do Oeste</t>
  </si>
  <si>
    <t>LC 131/2022</t>
  </si>
  <si>
    <t xml:space="preserve">Secretaria Municipal da Agricultura e Meio Ambiente </t>
  </si>
  <si>
    <t>(49) 3348-1212</t>
  </si>
  <si>
    <t>LC 1406/2019</t>
  </si>
  <si>
    <t>LO 1861/2015</t>
  </si>
  <si>
    <t>Secretaria Municipal da Agricultura e Meio Ambiente / agricultura@urubici.sc.gov.br</t>
  </si>
  <si>
    <t>(49)3278-4388</t>
  </si>
  <si>
    <t>Urupema</t>
  </si>
  <si>
    <t xml:space="preserve"> Secretaria Municipal da Agricultura e Meio Ambiente / agricultura@urupema.sc.gov.br</t>
  </si>
  <si>
    <t>(49) 3236-3054</t>
  </si>
  <si>
    <t>LC 29/2020</t>
  </si>
  <si>
    <t>Lei 36/2022</t>
  </si>
  <si>
    <t>Diretoria de Meio Ambiente do Município de Urussanga - DMA / dma@urussanga.sc.gov.br</t>
  </si>
  <si>
    <t>(48) 3465-1188</t>
  </si>
  <si>
    <t>Vargeão</t>
  </si>
  <si>
    <t>Secretaria Municipal de Agricultura, Indústria, Comércio e Meio Ambiente / agricultura@vargeao.sc.gov.br</t>
  </si>
  <si>
    <t>(49) 3050-5500</t>
  </si>
  <si>
    <t>Vargem</t>
  </si>
  <si>
    <t>LO 802/2018</t>
  </si>
  <si>
    <t>(49) 3549-0068</t>
  </si>
  <si>
    <t>Vargem Bonita</t>
  </si>
  <si>
    <t>(49) 3548-3000</t>
  </si>
  <si>
    <t>Vidal Ramos</t>
  </si>
  <si>
    <t>Secretaria de Turismo e Meio Ambiente / meioambiente@vidalramos.sc.gov.br</t>
  </si>
  <si>
    <t>(47) 3356-1001</t>
  </si>
  <si>
    <t>Videira</t>
  </si>
  <si>
    <t>LC 250/2020</t>
  </si>
  <si>
    <t>LO 103/1992; LC 307/2023</t>
  </si>
  <si>
    <t>Secretaria de Desenvolvimento Rural e Meio Ambiente / agricultura.joao@videira.sc.gov.br</t>
  </si>
  <si>
    <t>(49) 3090-2700</t>
  </si>
  <si>
    <t>Secretaria de Agricultura, Silvicultura, Pecuária e Meio Ambiente / agricultura@vitormeireles.sc.gov.br</t>
  </si>
  <si>
    <t>(47) 3258-0211</t>
  </si>
  <si>
    <t>Witmarsum</t>
  </si>
  <si>
    <t>LC 49/2013</t>
  </si>
  <si>
    <t>Dec 45/2008; LO 1126/2002</t>
  </si>
  <si>
    <t>Secretaria de Agricultura, Meio Ambiente Ind.e Com. / agricultura@witmarsum.sc.gov.br</t>
  </si>
  <si>
    <t>(47) 3358 0368</t>
  </si>
  <si>
    <t>Xanxerê</t>
  </si>
  <si>
    <t>LC 2915/2006</t>
  </si>
  <si>
    <t>Dec 312/2021</t>
  </si>
  <si>
    <t>Dec 51/2012</t>
  </si>
  <si>
    <t>Secretaria de Meio Ambiente / ambiental7@xanxere.sc.gov.br</t>
  </si>
  <si>
    <t>(49) 3441-8529</t>
  </si>
  <si>
    <t>Xavantina</t>
  </si>
  <si>
    <t>Sec. da Agricultura, Indústria e Comércio / agricultura@xavantina.sc.gov.br</t>
  </si>
  <si>
    <t>(49) 3454-3126</t>
  </si>
  <si>
    <t>Xaxim</t>
  </si>
  <si>
    <t>LC 146/2014</t>
  </si>
  <si>
    <t>LO 1083/1988</t>
  </si>
  <si>
    <t>LO 4068/2015; LO 4666/2023; LO 4667/2023</t>
  </si>
  <si>
    <t>(49) 3353-2502</t>
  </si>
  <si>
    <t>Zortéa</t>
  </si>
  <si>
    <t>LO 703/2022</t>
  </si>
  <si>
    <t>(49) 3090-0900</t>
  </si>
  <si>
    <t>UNIDADE DE CONSERVAÇÃO</t>
  </si>
  <si>
    <t xml:space="preserve">Estadual </t>
  </si>
  <si>
    <t xml:space="preserve">Área </t>
  </si>
  <si>
    <t xml:space="preserve">Municipal </t>
  </si>
  <si>
    <t>PARNA Aparados da Serra</t>
  </si>
  <si>
    <t>Parque Estadual da Serra do Tabuleiro</t>
  </si>
  <si>
    <t>APA Cedro Margem Direita</t>
  </si>
  <si>
    <t>PARNA São Joaquim</t>
  </si>
  <si>
    <t>REBIO Estadual Sassafrás</t>
  </si>
  <si>
    <t>APA Cedro Margem Esquerda</t>
  </si>
  <si>
    <t>FLONA de Três Barras</t>
  </si>
  <si>
    <t>REBIO da Canela Preta</t>
  </si>
  <si>
    <t>ARIE Roberto Miguel Klein</t>
  </si>
  <si>
    <t>FLONA Chapecó</t>
  </si>
  <si>
    <t>Parque da Serra Furada</t>
  </si>
  <si>
    <t>APA do Brilhante</t>
  </si>
  <si>
    <t>FLONA de Caçador</t>
  </si>
  <si>
    <t>REBIO do Aguaí</t>
  </si>
  <si>
    <t>PNM São Francisco de Assis*</t>
  </si>
  <si>
    <t>Estação Ecológica de Carijós</t>
  </si>
  <si>
    <t>APA Nova Veneza</t>
  </si>
  <si>
    <t>FLONA de Ibirama</t>
  </si>
  <si>
    <t>Parque Estadual das Araucárias</t>
  </si>
  <si>
    <t>APA Serra Dona Francisca</t>
  </si>
  <si>
    <t>REBIO Marinha Arvoredo</t>
  </si>
  <si>
    <t>ARIE Desterro</t>
  </si>
  <si>
    <t>ARIE Serra da Abelha</t>
  </si>
  <si>
    <t>Parque Estadual Acaraí</t>
  </si>
  <si>
    <t>APA do Quiriri</t>
  </si>
  <si>
    <t>PARNA da Serra Geral</t>
  </si>
  <si>
    <t>Parque Estadual Rio Vermelho</t>
  </si>
  <si>
    <t>APA Represa Alto Rio Preto</t>
  </si>
  <si>
    <t>APA do Anhatomirim</t>
  </si>
  <si>
    <t>RPPN Estadual Cascata</t>
  </si>
  <si>
    <t>APA Rio dos Bugres</t>
  </si>
  <si>
    <t>RESEX Marinha Costeira do Pirajubaé</t>
  </si>
  <si>
    <t>RPPN Estadual João Heyse Sobrinho</t>
  </si>
  <si>
    <t>APA Rio Vermelho - Humbold</t>
  </si>
  <si>
    <t>APA Baleia Franca</t>
  </si>
  <si>
    <t>RPPN Estadual Professora Yara C. Nicoletti</t>
  </si>
  <si>
    <t>APA Alto Rio Turvo</t>
  </si>
  <si>
    <t>PARNA da Serra do Itajaí</t>
  </si>
  <si>
    <t>RPPN Estadual Natureza Viva BRF</t>
  </si>
  <si>
    <t>APA Lagoa do Verdinho</t>
  </si>
  <si>
    <t>Estação Ecológica Mata Preta</t>
  </si>
  <si>
    <t>RPPN Estadual Pico da Bandeira</t>
  </si>
  <si>
    <t>APA do Rio Maior</t>
  </si>
  <si>
    <t>PARNA das Araucárias</t>
  </si>
  <si>
    <t>RPPN Estadual Rio dos Pardos</t>
  </si>
  <si>
    <t>APA Mananciais do Rio Kunts e Rio Fiorita</t>
  </si>
  <si>
    <t>RPPN Reserva do Caraguatá I</t>
  </si>
  <si>
    <t>RPPN Estadual Rio Bonito</t>
  </si>
  <si>
    <t>APA Mananciais dos Rios Serra São Bento, Serrinha e Costão da Serra</t>
  </si>
  <si>
    <t>RPPN Fazenda Palmital</t>
  </si>
  <si>
    <t>RPPN Estadual Parque das Araucárias</t>
  </si>
  <si>
    <t>APA dos Campos do Quiriri</t>
  </si>
  <si>
    <t>RPPN Parque Ecológico ARTEX</t>
  </si>
  <si>
    <t>RPPN Estadual Morro do Moreira</t>
  </si>
  <si>
    <t>APA das Ilhas Fluviais</t>
  </si>
  <si>
    <t>RPPN Reserva BugerKopf</t>
  </si>
  <si>
    <t>RPPN Estadual ICAP</t>
  </si>
  <si>
    <t>APA do Rio Itajaí Mirim Botuverá</t>
  </si>
  <si>
    <t>RPPN Fazenda Pousada Serra Pitoco</t>
  </si>
  <si>
    <t>RPPN Estadual Cartonagem Batistente</t>
  </si>
  <si>
    <t>APA Fonte Modelo Caxambu</t>
  </si>
  <si>
    <t>RPPN Reserva do Caraguatá II</t>
  </si>
  <si>
    <t>RPPN Estadual Reserva Ambiental S. Santos</t>
  </si>
  <si>
    <t>APA Morro do Gavião</t>
  </si>
  <si>
    <t>RPPN Reserva do Caraguatá III</t>
  </si>
  <si>
    <t>RPPN Estadual Valdir Baldin</t>
  </si>
  <si>
    <t>APA Morro Albino e Esteves</t>
  </si>
  <si>
    <t>RPPN Normando Tedesco</t>
  </si>
  <si>
    <t>RPPN Estadual Sonho Azul</t>
  </si>
  <si>
    <t>APA Costa Brava</t>
  </si>
  <si>
    <t>RPPN Reserva Natural Menino de Deus</t>
  </si>
  <si>
    <t>RPPN Estadual Dona Augusta</t>
  </si>
  <si>
    <t>APA do Bateias</t>
  </si>
  <si>
    <t>RPPN Morro das Aranhas</t>
  </si>
  <si>
    <t>RPPN Estadual Paleotoca Serra Laurentino</t>
  </si>
  <si>
    <t>APA Mananciais dio Rio Sagão, Sant'ana e Albino</t>
  </si>
  <si>
    <t>RPPN Barra do Rio do Meio</t>
  </si>
  <si>
    <t>RPPN Estadual Jardim das Colinas</t>
  </si>
  <si>
    <t>APA Padre Paulino Reitz</t>
  </si>
  <si>
    <t>RPPN Fazenda Araucária</t>
  </si>
  <si>
    <t>RPPN Estadual Aroeira Vermelha</t>
  </si>
  <si>
    <t>APA Morro do Casagrande</t>
  </si>
  <si>
    <t>RPPN Gralha-Azul</t>
  </si>
  <si>
    <t>RPPN Estadual Complexo Serra da Farofa</t>
  </si>
  <si>
    <t>PNM Morro da Cruz</t>
  </si>
  <si>
    <t>RPPN Chácara Edith</t>
  </si>
  <si>
    <t>RPPN Estadual Itutupã</t>
  </si>
  <si>
    <t>PNM Costeira de Zimbros* (era ARIE)</t>
  </si>
  <si>
    <t>RPPN Caetezal</t>
  </si>
  <si>
    <t>RPPN Estadual Frioeste</t>
  </si>
  <si>
    <t>ARIE Pedra do Frade</t>
  </si>
  <si>
    <t>RPPN Prima Luna</t>
  </si>
  <si>
    <t>RPPN Estadual Rio das Lontras</t>
  </si>
  <si>
    <t>PNM do Vale do Rio do Peixe</t>
  </si>
  <si>
    <t>RPPN Ano Bom</t>
  </si>
  <si>
    <t>RPPN Estadual Rio do Prata Bugio</t>
  </si>
  <si>
    <t>PNM Bromberg</t>
  </si>
  <si>
    <t>RPPN Guaxinim</t>
  </si>
  <si>
    <t>RPPN Estadual Reserva Fontes e Verdes</t>
  </si>
  <si>
    <t>ARIE Morro Boa Vista</t>
  </si>
  <si>
    <t>RPPN Reserva Rio das Furnas</t>
  </si>
  <si>
    <t xml:space="preserve">RPPN Estadual Pedra Branca </t>
  </si>
  <si>
    <t>PNM Gruta do São José</t>
  </si>
  <si>
    <t>RPPN Bio Estações Águas Cristalinas</t>
  </si>
  <si>
    <t>RPPN Estadual Parque das Borboletas</t>
  </si>
  <si>
    <t>PNM Rio Furtuna</t>
  </si>
  <si>
    <t>RPPN Emilio Fiorentino Battistella</t>
  </si>
  <si>
    <t>TOTAL*</t>
  </si>
  <si>
    <t>REBIO Municipal Dionísio Cerqueira</t>
  </si>
  <si>
    <t>RPPN Morro dos Zimbros</t>
  </si>
  <si>
    <t>PORCENTAGEM</t>
  </si>
  <si>
    <t>REBIO Treze Tilhas</t>
  </si>
  <si>
    <t>RPPN Morro da Palha</t>
  </si>
  <si>
    <t>*100% terrestre</t>
  </si>
  <si>
    <t>APA da Sub-bacia do Rio Ferreira</t>
  </si>
  <si>
    <t>RPPN Passarim</t>
  </si>
  <si>
    <t>APA Parque Ecológico José Milanese</t>
  </si>
  <si>
    <t>RPPN Capão Redondo</t>
  </si>
  <si>
    <t>APA Parque Morro Cecuinel</t>
  </si>
  <si>
    <t>RPPN Vale das Pedras</t>
  </si>
  <si>
    <t>APA Parque Salura</t>
  </si>
  <si>
    <t>RPPN Curucaca IV</t>
  </si>
  <si>
    <t>APA de Içara</t>
  </si>
  <si>
    <t>RPPN Emilio Einsfeld Filho</t>
  </si>
  <si>
    <t>PNM Araponguinhas</t>
  </si>
  <si>
    <t>RPPN Santuário Rã-Bugio I</t>
  </si>
  <si>
    <t>PNM Nascentes do Garcia</t>
  </si>
  <si>
    <t>RPPN Santuário Rã-Bugio II</t>
  </si>
  <si>
    <t>PNM da Caieira</t>
  </si>
  <si>
    <t>RPPN Reserva Leão da Montanha</t>
  </si>
  <si>
    <t>PNM José Theodoro da Costa Neto</t>
  </si>
  <si>
    <t>RPPN Fazenda Santa Terezinha</t>
  </si>
  <si>
    <t>PNM Raimundo Malta</t>
  </si>
  <si>
    <t>RPPN Curucaca II</t>
  </si>
  <si>
    <t>PNM Caminho do Peabiru*</t>
  </si>
  <si>
    <t>RPPN Curucaca I</t>
  </si>
  <si>
    <t>PNM do Atalaia</t>
  </si>
  <si>
    <t>RPPN Curucaca III</t>
  </si>
  <si>
    <t>ARIE do Salto</t>
  </si>
  <si>
    <t>RPPN Taipa do Rio Itajaí</t>
  </si>
  <si>
    <t>PNM Cordeiros</t>
  </si>
  <si>
    <t>RPPN Corredeiras do Rio Itajaí</t>
  </si>
  <si>
    <t>APA Saco da Fazenda</t>
  </si>
  <si>
    <t>RPPN Grutinha</t>
  </si>
  <si>
    <t>PNM Trilha dos Bugres</t>
  </si>
  <si>
    <t>RPPN Retiro Tun</t>
  </si>
  <si>
    <t>REBIO Praia do Rosa</t>
  </si>
  <si>
    <t>RPPN Pedra da Águia</t>
  </si>
  <si>
    <t>REBIO de Irineopolis</t>
  </si>
  <si>
    <t>RPPN Serra do Lucindo</t>
  </si>
  <si>
    <t>PNM Carijós</t>
  </si>
  <si>
    <t>RPPN Porto Franco</t>
  </si>
  <si>
    <t xml:space="preserve">PNM Centenario </t>
  </si>
  <si>
    <t>RPPN Taipa Rio do Couro</t>
  </si>
  <si>
    <t>PNM Chapeu das Águas</t>
  </si>
  <si>
    <t>RPPN Refúgio do Macuco</t>
  </si>
  <si>
    <t>PNM de Navegantes</t>
  </si>
  <si>
    <t>RPPN Portal das Nascentes</t>
  </si>
  <si>
    <t>PNM Franz Damm</t>
  </si>
  <si>
    <t>RPPN Grande Floresta das Araucárias</t>
  </si>
  <si>
    <t>PNM Freymund Germer</t>
  </si>
  <si>
    <t>RPPN das Araucárias Gigantes</t>
  </si>
  <si>
    <t>PNM da Ilha das Cpivaras/Sibara</t>
  </si>
  <si>
    <t>RPPN Portal das Nascentes II</t>
  </si>
  <si>
    <t>PNM Rio Piçarras</t>
  </si>
  <si>
    <t>RPPN Raso do Mandi</t>
  </si>
  <si>
    <t>PNM Serra do Miguel</t>
  </si>
  <si>
    <t>RPPN Corredeiras do Rio Itajaí II</t>
  </si>
  <si>
    <t>PNM Claus Feldman</t>
  </si>
  <si>
    <t>RPPN Odir Zanelatto</t>
  </si>
  <si>
    <t>PNM Sylvio Garcia</t>
  </si>
  <si>
    <t>RPPN Passarim II</t>
  </si>
  <si>
    <t>PNM da Lagoa do Jacaré das Dunas do Santinho</t>
  </si>
  <si>
    <t>RPPN Florescer</t>
  </si>
  <si>
    <t>PNM das Dunas da Lagoa da Conceição</t>
  </si>
  <si>
    <t>RPPN Portal Água Branca</t>
  </si>
  <si>
    <t>PNM Lagoinha do Leste</t>
  </si>
  <si>
    <t>RPPN Corvo Branco</t>
  </si>
  <si>
    <t>PNM do Maciço da Costeira</t>
  </si>
  <si>
    <t>RPPN Reserva Heinz Bahr</t>
  </si>
  <si>
    <t>PNM do Manguezal do Itacorubi</t>
  </si>
  <si>
    <t>RPPN Rio Vermelho</t>
  </si>
  <si>
    <t>PNM Morro do Baú</t>
  </si>
  <si>
    <t>RPPN Brava Beach Internacional</t>
  </si>
  <si>
    <t>PNM Morro do Stinghen</t>
  </si>
  <si>
    <t>RPPN Taipa do Rio do Couro II</t>
  </si>
  <si>
    <t>PNM Xokleng</t>
  </si>
  <si>
    <t>RPPN Reserva Volta Velha</t>
  </si>
  <si>
    <t>PNM Ponta da Vigia</t>
  </si>
  <si>
    <t>RPPN Jorge Luiz Orsi</t>
  </si>
  <si>
    <t>PNM Lagoa do Perequê</t>
  </si>
  <si>
    <t>RPPN Jardim dos Beija-Flores</t>
  </si>
  <si>
    <t>PNM da Bica</t>
  </si>
  <si>
    <t>RPPN Cachoeira do Imbuia</t>
  </si>
  <si>
    <t>PNM da Galheta</t>
  </si>
  <si>
    <t>RPPN Fazenda Butia</t>
  </si>
  <si>
    <t>PNM Morro do Macaco</t>
  </si>
  <si>
    <t>RPPN Papagaio de Altitude</t>
  </si>
  <si>
    <t>PNM da Ressacada</t>
  </si>
  <si>
    <t>RPPN Raso do Mandi II</t>
  </si>
  <si>
    <t>REVIS de Itapema</t>
  </si>
  <si>
    <t>RPPN Pinheirinho 23</t>
  </si>
  <si>
    <t>APA da Praia Brava</t>
  </si>
  <si>
    <t>RPPN Amplus Lucidus</t>
  </si>
  <si>
    <t>APA Ponta do Araça</t>
  </si>
  <si>
    <t>RPPN Canto da Araponga</t>
  </si>
  <si>
    <t>ARIE do Bosque do Guarapuvu</t>
  </si>
  <si>
    <t>RPPN Rancho Luar</t>
  </si>
  <si>
    <t>REVIS Municipal do Meiembipe</t>
  </si>
  <si>
    <t>RPPN Reserva Rio das Furnas II</t>
  </si>
  <si>
    <t xml:space="preserve">REVIS Morro do Lampião </t>
  </si>
  <si>
    <t xml:space="preserve">TOTAL </t>
  </si>
  <si>
    <t>REVIS Nascentes do Saí</t>
  </si>
  <si>
    <t>APA dos Guaiamuns</t>
  </si>
  <si>
    <t>TOTAL TERRESTRE</t>
  </si>
  <si>
    <t>APA Arroio Macaco</t>
  </si>
  <si>
    <t>Estação Ecológica do Bracinho</t>
  </si>
  <si>
    <t>Reserva Biológica Xavier Sagmeister</t>
  </si>
  <si>
    <t>ARIE Foz do Ribeirão Garcia</t>
  </si>
  <si>
    <t>Território SC (ha)</t>
  </si>
  <si>
    <t>PNM das Grutas de Botuverá</t>
  </si>
  <si>
    <t>PNM Mata Atlântica</t>
  </si>
  <si>
    <t>APA Coxilhia Rica</t>
  </si>
  <si>
    <t>PNM Morro do Céu</t>
  </si>
  <si>
    <t>Reserva de Desenvolvimento Sustentável da Ilha do Morro do Amaral</t>
  </si>
  <si>
    <t>APA da Costa do Aranraguá</t>
  </si>
  <si>
    <t>APA de Cocal do Sul</t>
  </si>
  <si>
    <t>APA Bosque do Repouso</t>
  </si>
  <si>
    <t>Mesorregião OESTE</t>
  </si>
  <si>
    <t>Microrregião</t>
  </si>
  <si>
    <t xml:space="preserve">Total de Municípios </t>
  </si>
  <si>
    <t>População               (2022 IBGE)</t>
  </si>
  <si>
    <t xml:space="preserve">São Miguel do Oeste </t>
  </si>
  <si>
    <t xml:space="preserve">Xanxerê </t>
  </si>
  <si>
    <t xml:space="preserve">Concódia </t>
  </si>
  <si>
    <t xml:space="preserve">5 microrregiões </t>
  </si>
  <si>
    <t>Mesorregião SERRANA</t>
  </si>
  <si>
    <t xml:space="preserve">Curitibanos </t>
  </si>
  <si>
    <t>Campos de Lages</t>
  </si>
  <si>
    <t xml:space="preserve">2 microrregiões </t>
  </si>
  <si>
    <t xml:space="preserve">Mesorregião NORTE </t>
  </si>
  <si>
    <t xml:space="preserve">Canoinhas </t>
  </si>
  <si>
    <t xml:space="preserve">Joinville </t>
  </si>
  <si>
    <t xml:space="preserve">3 microrregiões </t>
  </si>
  <si>
    <t>Mesorregião VALE DO ITAJAÍ</t>
  </si>
  <si>
    <t xml:space="preserve">Ituporanga </t>
  </si>
  <si>
    <t xml:space="preserve">4 microrregiões </t>
  </si>
  <si>
    <t xml:space="preserve">Mesorregião GRANDE FLORIANÓPOLIS </t>
  </si>
  <si>
    <t xml:space="preserve">Florinópolis </t>
  </si>
  <si>
    <t xml:space="preserve">Tabuleiro </t>
  </si>
  <si>
    <t>Mesorregião SUL</t>
  </si>
  <si>
    <t xml:space="preserve">Tubarão </t>
  </si>
  <si>
    <t xml:space="preserve">Criciúma </t>
  </si>
  <si>
    <t>TIPO</t>
  </si>
  <si>
    <t>N°</t>
  </si>
  <si>
    <t>ANO</t>
  </si>
  <si>
    <t>EMENTA</t>
  </si>
  <si>
    <t>DEC</t>
  </si>
  <si>
    <t>CRIA O COMITÊ ESTADUAL DA RESERVA DA BIOSFERA DA MATA ATLÂNTICA NO ESTADO DE SANTA CATARINA</t>
  </si>
  <si>
    <t>LEI</t>
  </si>
  <si>
    <t>INSTITUI O CÓDIGO ESTADUAL DO MEIO AMBIENTE E ESTABELECE OUTRAS PROVIDÊNCIAS</t>
  </si>
  <si>
    <t>ALTERA A LEI Nº 14.675, DE 2009, QUE INSTITUI O CÓDIGO ESTADUAL DO MEIO AMBIENTE, E ESTABELECE OUTRAS PROVIDÊNCIAS</t>
  </si>
  <si>
    <t>REGULAMENTA O CAPÍTULO IV-A DO TÍTULO IV DA LEI Nº 14.675, DE 2009, IMPLANTANDO O PROGRAMA DE REGULARIZAÇÃO AMBIENTAL (PRA), E ESTABELECE OUTRAS PROVIDÊNCIAS</t>
  </si>
  <si>
    <t>Institui o Corredor Ecológico Caminho das Nascentes</t>
  </si>
  <si>
    <t>Altera a Lei nº 14.675, de 2009, que "Institui o Código Estadual do Meio Ambiente e estabelece outras providências", e adota outras providências</t>
  </si>
  <si>
    <t>ENTE FEDERATIVO</t>
  </si>
  <si>
    <t>UNIDADE</t>
  </si>
  <si>
    <t>ATO LEGISLATIVO</t>
  </si>
  <si>
    <t>UNIÃO</t>
  </si>
  <si>
    <t>Portaria 040/97-N de 30/04/1997</t>
  </si>
  <si>
    <t>Balneário Arroio da Silva</t>
  </si>
  <si>
    <t>RPPN Normando Tedesco/Morro da Aguada</t>
  </si>
  <si>
    <t>RPPN Bio Estação Águas Cristalinas</t>
  </si>
  <si>
    <t>RPPN Emilio Fiorentino Battistella (Rota das Cachoeiras)</t>
  </si>
  <si>
    <t>Portaria 50 - DOU 132 - 13/07/2010 - seção/pg. 1/97 e Portaria 53 - DOU 75 - 19/04/2002 - seção/pg. 1/139</t>
  </si>
  <si>
    <t>RPPN Chácara São Miguel</t>
  </si>
  <si>
    <t>RPPN Costão do Santinho</t>
  </si>
  <si>
    <t>Portaria 0813/98-41</t>
  </si>
  <si>
    <t>RPPN Hospital de Caridade</t>
  </si>
  <si>
    <t>Portaria 85/99 de 06/10/1999</t>
  </si>
  <si>
    <t>Portaria 19/20002 de 05/02/2002</t>
  </si>
  <si>
    <t>RPPN Rancho de Luar</t>
  </si>
  <si>
    <t>Portaria 27 - DOU 75 - 20/04/2016 - seção/pg. 1 - 67 e
Portaria 27 - DOU 75 - 20/04/2016 - seção/pg. 1 - 68</t>
  </si>
  <si>
    <t>Portaria 27 - DOU 75 - 20/04/2016 - seção/pg. 1 - 68</t>
  </si>
  <si>
    <t>retiro</t>
  </si>
  <si>
    <t>RPPN Taipa Rio do Couro II</t>
  </si>
  <si>
    <t>Portaria 070/92-N de 25/06/1992</t>
  </si>
  <si>
    <t>Portaria 168/2001</t>
  </si>
  <si>
    <t>RPPN Parque Ecológico dos Butiás</t>
  </si>
  <si>
    <t>RPPN Prima Luna I</t>
  </si>
  <si>
    <t>RPPN Reserva dos Bugres</t>
  </si>
  <si>
    <t>Portaria 119 - DOU 176 - 11/09/2002 - seção/pg. 1 - 176 e
Portaria Retificação - DOU 211 - 30/10/2002 - seção/pg. 1 - 138 e
Portaria Retificação - DOU 77 - 26/04/2022 - seção/pg. 1 - 63</t>
  </si>
  <si>
    <t>Portaria 167 - DOU 219 - 16/11/2001 - seção/pg. 01 - 91
Propriedade</t>
  </si>
  <si>
    <t>Portaria 34/2005 - DOU 84 - 04/05/2005 - seção/pg. 01 - 65 e
Portaria 40/2009 - DOU 92 - 18/05/2009 - seção/pg. 01 - 108</t>
  </si>
  <si>
    <t>RPPN Fazenda Santa Bárbara</t>
  </si>
  <si>
    <t>Portaria 34 - DOU 97 - 23/05/2008 - seção/pg. 01 126 e
Portaria 34 - DOU 97 - 23/05/2008 - seção/pg. 01 - 126</t>
  </si>
  <si>
    <t>PLANO MANEJO</t>
  </si>
  <si>
    <t>ESTADO</t>
  </si>
  <si>
    <t>PORT 092/2017</t>
  </si>
  <si>
    <t>PORT 168/2019</t>
  </si>
  <si>
    <t>Bandeirantes</t>
  </si>
  <si>
    <t>PORT 209/2022</t>
  </si>
  <si>
    <t>PORT 71/2017</t>
  </si>
  <si>
    <t>APA do Entorno Costeiro</t>
  </si>
  <si>
    <t>Dec 179/2019</t>
  </si>
  <si>
    <t>Palhoça/Paulo Lopes</t>
  </si>
  <si>
    <t>APA da Vargem do Braço</t>
  </si>
  <si>
    <t>Dec 3504/2010</t>
  </si>
  <si>
    <t>935ha</t>
  </si>
  <si>
    <t>Corredor Ecológico Caminho das Nascentes</t>
  </si>
  <si>
    <t>Dec 2367/22</t>
  </si>
  <si>
    <t>1716,351km2</t>
  </si>
  <si>
    <t>SIM - NÃO PUBL</t>
  </si>
  <si>
    <t>RPPNS A SEREM CRIADAS</t>
  </si>
  <si>
    <t>ENTE INDETERMINADO</t>
  </si>
  <si>
    <t>RPPN Praia do Estaleiro</t>
  </si>
  <si>
    <t>PROC N 02026.003518/98-38</t>
  </si>
  <si>
    <t>PROC N 02026.004021/99-36</t>
  </si>
  <si>
    <t>RPPN do Morro Redondo</t>
  </si>
  <si>
    <t>PROC N 02026.002084/99-02</t>
  </si>
  <si>
    <t>RPPN da Veja</t>
  </si>
  <si>
    <t>PROC N 02026. 003406/01-81</t>
  </si>
  <si>
    <t>RPPN Fazenda do Salto</t>
  </si>
  <si>
    <t>PROC N 02026.003762/02-77</t>
  </si>
  <si>
    <t>RPPN Maijoma</t>
  </si>
  <si>
    <t>PROC N 02026.002209/99-59</t>
  </si>
  <si>
    <t>RPPN JHR</t>
  </si>
  <si>
    <t>PROC N 02026.004204/02-83</t>
  </si>
  <si>
    <t>RPPN s/nome</t>
  </si>
  <si>
    <t>PROC N 02026.000692/98-29</t>
  </si>
  <si>
    <t>s/info</t>
  </si>
  <si>
    <t>PROC N 3300/96-11</t>
  </si>
  <si>
    <t>PROC N 1694/97-17</t>
  </si>
  <si>
    <t>PROC N 02026.000286/98-48</t>
  </si>
  <si>
    <t>PROC N 0082/98-06</t>
  </si>
  <si>
    <t>PROC N 02026.003420/98-35</t>
  </si>
  <si>
    <t>PROC N 02026.000133/99-18</t>
  </si>
  <si>
    <t>PROC N 02026.005215/99-60</t>
  </si>
  <si>
    <t>Parque Florestal do Contestado</t>
  </si>
  <si>
    <t>PROC N 02026.</t>
  </si>
  <si>
    <t>Pequeno Vale</t>
  </si>
  <si>
    <t>ipumirim</t>
  </si>
  <si>
    <t>Barracas (Ano Bom)</t>
  </si>
  <si>
    <t>Rio do Júlio</t>
  </si>
  <si>
    <t>Recanto das Marés</t>
  </si>
  <si>
    <t>Pinheirinho</t>
  </si>
  <si>
    <t>referências p artigo</t>
  </si>
  <si>
    <t>https://wwwold.joinville.sc.gov.br/public/portaladm/pdf/jornal/e92f52466db78cb7b976632203e7de7e.pdf</t>
  </si>
  <si>
    <t>https://www.pmf.sc.gov.br/arquivos/arquivos/pdf/06_05_2016_10.59.42.82fe6938422bfebbb7593898e0524b87.pdf</t>
  </si>
  <si>
    <t>https://documentos.mpsc.mp.br/portal/manager/resourcesDB.aspx?path=336</t>
  </si>
  <si>
    <t>https://leiaufsc.wordpress.com/wp-content/uploads/2015/08/terras-indc3adgenas-em-santa-catarina.pdf</t>
  </si>
  <si>
    <t>https://www.sas.sc.gov.br/index.php/downloads/conselhos/cepin/4121-indigenas-aldeados-que-vivem-em-santa-catarina-1/file</t>
  </si>
  <si>
    <t>https://www.cultura.sc.gov.br/downloads/patrimonio-cultural/2952-catalogo-de-bens-tombados-fcc-set-2022/file</t>
  </si>
  <si>
    <t>https://core.ac.uk/download/pdf/328065537.pdf</t>
  </si>
  <si>
    <t>https://periodicos.unb.br/index.php/sust/article/download/14975/13289/</t>
  </si>
  <si>
    <t>https://leismunicipais.com.br/</t>
  </si>
  <si>
    <t>https://leisestaduais.com.br/sc</t>
  </si>
  <si>
    <t>https://www.ima.sc.gov.br/index.php/biodiversidade/unidades-de-conservacao</t>
  </si>
  <si>
    <t>https://www.joinville.sc.gov.br/servicos/unidades-de-conservacao-da-natureza-em-joinville/</t>
  </si>
  <si>
    <t>https://www.famabi.net/</t>
  </si>
  <si>
    <t>https://inis.itajai.sc.gov.br/l/beta-unidades-de-conservacao</t>
  </si>
  <si>
    <t>https://www.gov.br/funai/pt-br/atuacao/terras-indigenas/geoprocessamento-e-mapas</t>
  </si>
  <si>
    <t>http://repositorio.unesc.net/bitstream/1/1230/2/Plano%20de%20manejo%20do%20Parque%20Natural%20Municipal%20Morro%20o%20C%C3%A9u.pdf</t>
  </si>
  <si>
    <t>https://licenciamento.ibama.gov.br/Petroleo/Perfuracao/Perfuracao%20-%20Bacia%20de%20Santos%20-%20Bloco%20BM-S-8%20-%20Carcara%20-%20Statoil/EAP/II_10_PEI/Anexos/Anexo_I_PEPLC/Apendice%20I-Mapas%20Estrategicos.pdf</t>
  </si>
  <si>
    <t>https://documentacao.socioambiental.org/ato_normativo/UC/1603_20140818_190039.pdf</t>
  </si>
  <si>
    <t>https://reservasdabiosfera.org.br/wp-content/uploads/2021/11/fase-7-POR-compactado.pdf</t>
  </si>
  <si>
    <t>PG 126</t>
  </si>
  <si>
    <t>Anexo 2 PG 244</t>
  </si>
  <si>
    <t>imprimir 244 a 251</t>
  </si>
  <si>
    <t>https://www.gov.br/incra/pt-br/assuntos/governanca-fundiaria/Acompanhamento_dos_processos_de_regularizacao_quilombola_15.10.2024.pdf</t>
  </si>
  <si>
    <t>https://ima.sc.gov.br/index.php/biodiversidade/biodiversidade/corredores-ecologicos</t>
  </si>
  <si>
    <t>https://terrasindigenas.org.br/pt-br/brasil</t>
  </si>
  <si>
    <t>https://www.criciuma.sc.gov.br/pmc/webroot/upload/ckfinder/files/SCCRC008_HIGHLINE_EIV.PDF</t>
  </si>
  <si>
    <t>pg 33</t>
  </si>
  <si>
    <t>pg 29</t>
  </si>
  <si>
    <t>imprimir</t>
  </si>
  <si>
    <t>https://turismo.camboriu.sc.gov.br/category/parques-e-reservas-ecologicas/</t>
  </si>
  <si>
    <t>https://www.researchgate.net/publication/380236003_O_DILEMA_ENTRE_MONA_E_APA_O_CASO_DA_LAGOA_DO_PERI</t>
  </si>
  <si>
    <t>https://guabiruba.sc.gov.br/noticia-724253/</t>
  </si>
  <si>
    <t>https://sistemas.icmbio.gov.br/simrppn/publico/rppn/SC/</t>
  </si>
  <si>
    <t>Tipo</t>
  </si>
  <si>
    <t>Bioma Predominante</t>
  </si>
  <si>
    <t>Soma de Área (ha)</t>
  </si>
  <si>
    <t>Soma de Área (Km²)</t>
  </si>
  <si>
    <t>Ano de criação</t>
  </si>
  <si>
    <t>Municípios Abrangidos</t>
  </si>
  <si>
    <t>Ano do Ato legal mais recente</t>
  </si>
  <si>
    <t>Ato Legal de Criação</t>
  </si>
  <si>
    <t>Plano de Manejo</t>
  </si>
  <si>
    <t>Conselho Gestor</t>
  </si>
  <si>
    <t>MONUMENTO NATURAL MUNICIPAL DA ILHA DO CAMPECHE</t>
  </si>
  <si>
    <t>PARQUE NATURAL MUNICIPAL SUMIDOURO</t>
  </si>
  <si>
    <t>RESERVA BIOLÓGICA (REBIO) MATA DOS GUANANDIS - SIMFLOR II</t>
  </si>
  <si>
    <t>RESERVA PARTICULAR DO PATRIMÔNIO NATURAL ESTADUAL   DE PAULO  BERNARDO  SCHMITT  &amp;  AMÉLIA  SCHMITT</t>
  </si>
  <si>
    <t>RESERVA PARTICULAR DO PATRIMÔNIO NATURAL ESTADUAL ADÉLIO MURAKAMI</t>
  </si>
  <si>
    <t>RESERVA PARTICULAR DO PATRIMÔNIO NATURAL ESTADUAL COOPER A1</t>
  </si>
  <si>
    <t>RESERVA PARTICULAR DO PATRIMÔNIO NATURAL ESTADUAL INIDAVI</t>
  </si>
  <si>
    <t>RESERVA PARTICULAR DO PATRIMÔNIO NATURAL ESTADUAL SÍTIO AMOR VERDADEIRO</t>
  </si>
  <si>
    <t>RESERVA PARTICULAR DO PATRIMÔNIO NATURAL ESTADUAL SÍTIO DUNKA ROSA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</si>
</sst>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
  </numFmts>
  <fonts count="50">
    <font>
      <sz val="11"/>
      <color theme="1"/>
      <name val="Calibri"/>
      <family val="2"/>
      <scheme val="minor"/>
    </font>
    <font>
      <sz val="11"/>
      <color theme="1"/>
      <name val="Calibri"/>
      <scheme val="minor"/>
    </font>
    <font>
      <sz val="11"/>
      <color theme="1"/>
      <name val="Calibri"/>
      <scheme val="minor"/>
    </font>
    <font>
      <b/>
      <sz val="11"/>
      <color theme="1"/>
      <name val="Calibri"/>
      <family val="2"/>
      <scheme val="minor"/>
    </font>
    <font>
      <sz val="11"/>
      <color theme="1"/>
      <name val="Calibri"/>
      <family val="2"/>
      <scheme val="minor"/>
    </font>
    <font>
      <sz val="11"/>
      <color rgb="FF000000"/>
      <name val="Calibri"/>
      <charset val="1"/>
    </font>
    <font>
      <sz val="11"/>
      <color rgb="FF000000"/>
      <name val="Calibri"/>
      <scheme val="minor"/>
    </font>
    <font>
      <sz val="11"/>
      <color rgb="FF333333"/>
      <name val="Calibri"/>
      <scheme val="minor"/>
    </font>
    <font>
      <u/>
      <sz val="11"/>
      <color theme="10"/>
      <name val="Calibri"/>
      <family val="2"/>
      <scheme val="minor"/>
    </font>
    <font>
      <sz val="9"/>
      <color rgb="FF000000"/>
      <name val="Calibri"/>
      <scheme val="minor"/>
    </font>
    <font>
      <sz val="9"/>
      <color theme="1"/>
      <name val="Calibri"/>
      <family val="2"/>
      <scheme val="minor"/>
    </font>
    <font>
      <sz val="12"/>
      <color rgb="FF000000"/>
      <name val="Calibri"/>
      <scheme val="minor"/>
    </font>
    <font>
      <sz val="12"/>
      <color theme="1"/>
      <name val="Calibri"/>
      <family val="2"/>
      <scheme val="minor"/>
    </font>
    <font>
      <u/>
      <sz val="12"/>
      <color theme="10"/>
      <name val="Calibri"/>
      <family val="2"/>
      <scheme val="minor"/>
    </font>
    <font>
      <sz val="12"/>
      <color rgb="FF0A0606"/>
      <name val="Calibri"/>
      <scheme val="minor"/>
    </font>
    <font>
      <sz val="9"/>
      <color rgb="FF000000"/>
      <name val="Calibri"/>
      <family val="2"/>
      <scheme val="minor"/>
    </font>
    <font>
      <sz val="10"/>
      <color rgb="FF000000"/>
      <name val="Calibri"/>
      <scheme val="minor"/>
    </font>
    <font>
      <sz val="9"/>
      <color rgb="FF444444"/>
      <name val="Calibri"/>
      <scheme val="minor"/>
    </font>
    <font>
      <sz val="11"/>
      <color rgb="FF000000"/>
      <name val="Calibri"/>
      <family val="2"/>
      <scheme val="minor"/>
    </font>
    <font>
      <sz val="9"/>
      <color rgb="FF000000"/>
      <name val="Calibri"/>
      <charset val="1"/>
    </font>
    <font>
      <sz val="11"/>
      <color rgb="FF222B35"/>
      <name val="Calibri"/>
      <scheme val="minor"/>
    </font>
    <font>
      <sz val="11"/>
      <color rgb="FF7030A0"/>
      <name val="Calibri"/>
      <charset val="1"/>
    </font>
    <font>
      <sz val="10"/>
      <color theme="1"/>
      <name val="Calibri"/>
      <family val="2"/>
      <scheme val="minor"/>
    </font>
    <font>
      <sz val="11"/>
      <color rgb="FFC00000"/>
      <name val="Calibri"/>
      <charset val="1"/>
    </font>
    <font>
      <b/>
      <sz val="10"/>
      <color theme="1"/>
      <name val="Calibri"/>
      <family val="2"/>
      <scheme val="minor"/>
    </font>
    <font>
      <b/>
      <sz val="10"/>
      <name val="Calibri"/>
      <family val="2"/>
      <scheme val="minor"/>
    </font>
    <font>
      <sz val="10"/>
      <color indexed="64"/>
      <name val="Calibri"/>
      <family val="2"/>
      <scheme val="minor"/>
    </font>
    <font>
      <b/>
      <sz val="10"/>
      <color indexed="64"/>
      <name val="Calibri"/>
      <family val="2"/>
      <scheme val="minor"/>
    </font>
    <font>
      <sz val="11"/>
      <color rgb="FFFF0000"/>
      <name val="Calibri"/>
      <charset val="1"/>
    </font>
    <font>
      <sz val="11"/>
      <color theme="9" tint="-0.249977111117893"/>
      <name val="Calibri"/>
      <charset val="1"/>
    </font>
    <font>
      <sz val="11"/>
      <color theme="9" tint="-0.499984740745262"/>
      <name val="Calibri"/>
      <charset val="1"/>
    </font>
    <font>
      <sz val="11"/>
      <color rgb="FFC00000"/>
      <name val="Calibri"/>
      <family val="2"/>
      <scheme val="minor"/>
    </font>
    <font>
      <sz val="10"/>
      <color rgb="FF000000"/>
      <name val="Calibri"/>
      <family val="2"/>
      <scheme val="minor"/>
    </font>
    <font>
      <sz val="11"/>
      <color rgb="FFFF0000"/>
      <name val="Calibri"/>
      <family val="2"/>
      <scheme val="minor"/>
    </font>
    <font>
      <sz val="11"/>
      <color rgb="FFFF0000"/>
      <name val="Calibri"/>
      <scheme val="minor"/>
    </font>
    <font>
      <sz val="11"/>
      <color rgb="FF000000"/>
      <name val="Calibri"/>
      <family val="2"/>
      <charset val="1"/>
    </font>
    <font>
      <b/>
      <sz val="11"/>
      <color theme="0"/>
      <name val="Calibri"/>
      <family val="2"/>
      <scheme val="minor"/>
    </font>
    <font>
      <sz val="11"/>
      <color theme="5"/>
      <name val="Calibri"/>
      <family val="2"/>
      <scheme val="minor"/>
    </font>
    <font>
      <sz val="11"/>
      <color rgb="FF000000"/>
      <name val="Calibri"/>
    </font>
    <font>
      <b/>
      <sz val="11"/>
      <color rgb="FF000000"/>
      <name val="Calibri"/>
      <scheme val="minor"/>
    </font>
    <font>
      <sz val="10"/>
      <color rgb="FF000000"/>
      <name val="Calibri"/>
      <charset val="1"/>
    </font>
    <font>
      <b/>
      <sz val="11"/>
      <color theme="1"/>
      <name val="Calibri"/>
      <scheme val="minor"/>
    </font>
    <font>
      <sz val="11"/>
      <color rgb="FF000000"/>
      <name val="Calibri"/>
      <family val="2"/>
    </font>
    <font>
      <b/>
      <sz val="11"/>
      <color rgb="FF000000"/>
      <name val="Calibri"/>
      <family val="2"/>
      <scheme val="minor"/>
    </font>
    <font>
      <b/>
      <sz val="11"/>
      <color rgb="FF000000"/>
      <name val="Calibri"/>
      <family val="2"/>
    </font>
    <font>
      <b/>
      <sz val="11"/>
      <color rgb="FF000000"/>
      <name val="Calibri"/>
    </font>
    <font>
      <sz val="11"/>
      <color rgb="FF242424"/>
      <name val="Aptos Narrow"/>
      <family val="2"/>
    </font>
    <font>
      <sz val="11"/>
      <color theme="1"/>
      <name val="Aptos Narrow"/>
      <family val="2"/>
    </font>
    <font>
      <sz val="11"/>
      <color theme="10"/>
      <name val="Calibri"/>
      <family val="2"/>
      <scheme val="minor"/>
    </font>
    <font>
      <sz val="11"/>
      <color theme="10"/>
      <name val="Calibri"/>
      <scheme val="minor"/>
    </font>
  </fonts>
  <fills count="20">
    <fill>
      <patternFill patternType="none"/>
    </fill>
    <fill>
      <patternFill patternType="gray125"/>
    </fill>
    <fill>
      <patternFill patternType="solid">
        <fgColor theme="0" tint="-4.9989318521683403E-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7"/>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theme="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theme="4" tint="0.39997558519241921"/>
      </top>
      <bottom style="thin">
        <color theme="4" tint="0.3999755851924192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43" fontId="4" fillId="0" borderId="0" applyFont="0" applyFill="0" applyBorder="0" applyAlignment="0" applyProtection="0"/>
    <xf numFmtId="0" fontId="8" fillId="0" borderId="0" applyNumberFormat="0" applyFill="0" applyBorder="0" applyAlignment="0" applyProtection="0"/>
  </cellStyleXfs>
  <cellXfs count="290">
    <xf numFmtId="0" fontId="0" fillId="0" borderId="0" xfId="0"/>
    <xf numFmtId="0" fontId="0" fillId="0" borderId="0" xfId="0" applyAlignment="1">
      <alignment horizontal="center"/>
    </xf>
    <xf numFmtId="0" fontId="0" fillId="0" borderId="0" xfId="0"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3" fillId="0" borderId="0" xfId="0" applyFont="1" applyAlignment="1">
      <alignment horizontal="center" vertical="center" wrapText="1"/>
    </xf>
    <xf numFmtId="0" fontId="0" fillId="0" borderId="0" xfId="0" applyAlignment="1">
      <alignment vertical="center"/>
    </xf>
    <xf numFmtId="0" fontId="3" fillId="0" borderId="1" xfId="0" applyFont="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1" xfId="0" applyBorder="1" applyAlignment="1">
      <alignment horizontal="center"/>
    </xf>
    <xf numFmtId="0" fontId="3" fillId="0" borderId="1" xfId="0" applyFont="1" applyBorder="1" applyAlignment="1">
      <alignment horizontal="center"/>
    </xf>
    <xf numFmtId="0" fontId="3" fillId="2" borderId="1" xfId="0" applyFont="1" applyFill="1" applyBorder="1" applyAlignment="1">
      <alignment horizontal="center" vertical="center"/>
    </xf>
    <xf numFmtId="0" fontId="3" fillId="2" borderId="1" xfId="0" applyFont="1" applyFill="1" applyBorder="1" applyAlignment="1">
      <alignment horizontal="center"/>
    </xf>
    <xf numFmtId="2" fontId="3" fillId="2" borderId="1" xfId="0" applyNumberFormat="1" applyFont="1" applyFill="1" applyBorder="1" applyAlignment="1">
      <alignment horizontal="center"/>
    </xf>
    <xf numFmtId="0" fontId="0" fillId="0" borderId="1" xfId="0" applyBorder="1" applyAlignment="1">
      <alignment horizontal="center" vertical="center"/>
    </xf>
    <xf numFmtId="0" fontId="3" fillId="2" borderId="6" xfId="0" applyFont="1" applyFill="1" applyBorder="1" applyAlignment="1">
      <alignment horizontal="center" vertical="center"/>
    </xf>
    <xf numFmtId="0" fontId="3" fillId="2" borderId="1" xfId="1" applyNumberFormat="1" applyFont="1" applyFill="1" applyBorder="1" applyAlignment="1">
      <alignment horizontal="center" vertical="center"/>
    </xf>
    <xf numFmtId="0" fontId="0" fillId="0" borderId="0" xfId="0" applyAlignment="1">
      <alignment horizontal="center" vertical="center" wrapText="1"/>
    </xf>
    <xf numFmtId="0" fontId="5" fillId="0" borderId="0" xfId="0" applyFont="1" applyAlignment="1">
      <alignment horizontal="center"/>
    </xf>
    <xf numFmtId="0" fontId="5" fillId="0" borderId="0" xfId="0" applyFont="1"/>
    <xf numFmtId="0" fontId="6" fillId="0" borderId="0" xfId="0" applyFont="1"/>
    <xf numFmtId="0" fontId="5" fillId="6" borderId="0" xfId="0" applyFont="1" applyFill="1"/>
    <xf numFmtId="0" fontId="0" fillId="6" borderId="0" xfId="0" applyFill="1"/>
    <xf numFmtId="0" fontId="7" fillId="0" borderId="0" xfId="0" applyFont="1"/>
    <xf numFmtId="0" fontId="0" fillId="0" borderId="0" xfId="0" applyAlignment="1">
      <alignment horizontal="left"/>
    </xf>
    <xf numFmtId="0" fontId="10" fillId="0" borderId="0" xfId="0" applyFont="1"/>
    <xf numFmtId="0" fontId="9" fillId="0" borderId="0" xfId="0" applyFont="1" applyAlignment="1">
      <alignment wrapText="1"/>
    </xf>
    <xf numFmtId="0" fontId="9" fillId="0" borderId="0" xfId="0" applyFont="1"/>
    <xf numFmtId="0" fontId="11" fillId="0" borderId="0" xfId="0" applyFont="1"/>
    <xf numFmtId="0" fontId="12" fillId="0" borderId="0" xfId="0" applyFont="1"/>
    <xf numFmtId="0" fontId="13" fillId="0" borderId="0" xfId="2" applyFont="1"/>
    <xf numFmtId="0" fontId="14" fillId="0" borderId="0" xfId="0" applyFont="1"/>
    <xf numFmtId="0" fontId="15" fillId="0" borderId="0" xfId="0" applyFont="1"/>
    <xf numFmtId="0" fontId="16" fillId="7" borderId="0" xfId="0" applyFont="1" applyFill="1" applyAlignment="1">
      <alignment wrapText="1"/>
    </xf>
    <xf numFmtId="0" fontId="8" fillId="0" borderId="0" xfId="2"/>
    <xf numFmtId="0" fontId="0" fillId="8" borderId="0" xfId="0" applyFill="1"/>
    <xf numFmtId="0" fontId="17" fillId="0" borderId="0" xfId="0" applyFont="1"/>
    <xf numFmtId="0" fontId="18" fillId="0" borderId="0" xfId="0" applyFont="1"/>
    <xf numFmtId="0" fontId="19" fillId="0" borderId="0" xfId="0" applyFont="1"/>
    <xf numFmtId="0" fontId="6" fillId="0" borderId="0" xfId="0" applyFont="1" applyAlignment="1">
      <alignment horizontal="left"/>
    </xf>
    <xf numFmtId="0" fontId="0" fillId="0" borderId="0" xfId="0" applyAlignment="1">
      <alignment wrapText="1"/>
    </xf>
    <xf numFmtId="0" fontId="20" fillId="0" borderId="0" xfId="0" applyFont="1"/>
    <xf numFmtId="0" fontId="0" fillId="3" borderId="0" xfId="0" applyFill="1" applyAlignment="1">
      <alignment horizontal="center"/>
    </xf>
    <xf numFmtId="0" fontId="8" fillId="0" borderId="0" xfId="2" applyAlignment="1">
      <alignment wrapText="1"/>
    </xf>
    <xf numFmtId="0" fontId="0" fillId="6" borderId="0" xfId="0" applyFill="1" applyAlignment="1">
      <alignment horizontal="left"/>
    </xf>
    <xf numFmtId="0" fontId="7" fillId="0" borderId="0" xfId="0" applyFont="1" applyAlignment="1">
      <alignment horizontal="left"/>
    </xf>
    <xf numFmtId="0" fontId="0" fillId="9" borderId="0" xfId="0" applyFill="1" applyAlignment="1">
      <alignment wrapText="1"/>
    </xf>
    <xf numFmtId="0" fontId="0" fillId="0" borderId="0" xfId="0" applyAlignment="1">
      <alignment horizontal="left" wrapText="1"/>
    </xf>
    <xf numFmtId="0" fontId="21" fillId="5" borderId="0" xfId="0" applyFont="1" applyFill="1"/>
    <xf numFmtId="0" fontId="21" fillId="0" borderId="0" xfId="0" applyFont="1"/>
    <xf numFmtId="0" fontId="6" fillId="0" borderId="0" xfId="0" applyFont="1" applyAlignment="1">
      <alignment wrapText="1"/>
    </xf>
    <xf numFmtId="0" fontId="22" fillId="0" borderId="0" xfId="0" applyFont="1"/>
    <xf numFmtId="0" fontId="0" fillId="0" borderId="8" xfId="0" applyBorder="1"/>
    <xf numFmtId="0" fontId="23" fillId="0" borderId="0" xfId="0" applyFont="1"/>
    <xf numFmtId="0" fontId="5" fillId="5" borderId="0" xfId="0" applyFont="1" applyFill="1"/>
    <xf numFmtId="0" fontId="25" fillId="10" borderId="6" xfId="0" applyFont="1" applyFill="1" applyBorder="1" applyAlignment="1">
      <alignment horizontal="center" vertical="center"/>
    </xf>
    <xf numFmtId="0" fontId="25" fillId="10" borderId="1" xfId="0" applyFont="1" applyFill="1" applyBorder="1" applyAlignment="1">
      <alignment horizontal="center" vertical="center"/>
    </xf>
    <xf numFmtId="0" fontId="25" fillId="10" borderId="5" xfId="0" applyFont="1" applyFill="1" applyBorder="1" applyAlignment="1">
      <alignment horizontal="center" vertical="center" wrapText="1"/>
    </xf>
    <xf numFmtId="0" fontId="26" fillId="10" borderId="2" xfId="0" applyFont="1" applyFill="1" applyBorder="1" applyAlignment="1">
      <alignment horizontal="center" vertical="center" wrapText="1"/>
    </xf>
    <xf numFmtId="0" fontId="26" fillId="10" borderId="4" xfId="0" applyFont="1" applyFill="1" applyBorder="1" applyAlignment="1">
      <alignment horizontal="center" vertical="center"/>
    </xf>
    <xf numFmtId="3" fontId="26" fillId="10" borderId="3" xfId="0" applyNumberFormat="1" applyFont="1" applyFill="1" applyBorder="1" applyAlignment="1">
      <alignment horizontal="center" vertical="center"/>
    </xf>
    <xf numFmtId="0" fontId="26" fillId="10" borderId="2" xfId="0" applyFont="1" applyFill="1" applyBorder="1" applyAlignment="1">
      <alignment horizontal="center" vertical="center"/>
    </xf>
    <xf numFmtId="0" fontId="27" fillId="10" borderId="6" xfId="0" applyFont="1" applyFill="1" applyBorder="1" applyAlignment="1">
      <alignment horizontal="center" vertical="center"/>
    </xf>
    <xf numFmtId="0" fontId="27" fillId="10" borderId="1" xfId="0" applyFont="1" applyFill="1" applyBorder="1" applyAlignment="1">
      <alignment horizontal="center" vertical="center"/>
    </xf>
    <xf numFmtId="3" fontId="27" fillId="10" borderId="5" xfId="0" applyNumberFormat="1" applyFont="1" applyFill="1" applyBorder="1" applyAlignment="1">
      <alignment horizontal="center" vertical="center"/>
    </xf>
    <xf numFmtId="0" fontId="27" fillId="0" borderId="0" xfId="0" applyFont="1" applyAlignment="1">
      <alignment horizontal="center" vertical="center"/>
    </xf>
    <xf numFmtId="3" fontId="27" fillId="0" borderId="0" xfId="0" applyNumberFormat="1" applyFont="1" applyAlignment="1">
      <alignment horizontal="center" vertical="center"/>
    </xf>
    <xf numFmtId="0" fontId="25" fillId="11" borderId="6" xfId="0" applyFont="1" applyFill="1" applyBorder="1" applyAlignment="1">
      <alignment horizontal="center" vertical="center"/>
    </xf>
    <xf numFmtId="0" fontId="25" fillId="11" borderId="1" xfId="0" applyFont="1" applyFill="1" applyBorder="1" applyAlignment="1">
      <alignment horizontal="center" vertical="center"/>
    </xf>
    <xf numFmtId="0" fontId="25" fillId="11" borderId="5" xfId="0" applyFont="1" applyFill="1" applyBorder="1" applyAlignment="1">
      <alignment horizontal="center" vertical="center" wrapText="1"/>
    </xf>
    <xf numFmtId="0" fontId="26" fillId="11" borderId="2" xfId="0" applyFont="1" applyFill="1" applyBorder="1" applyAlignment="1">
      <alignment horizontal="center" vertical="center" wrapText="1"/>
    </xf>
    <xf numFmtId="0" fontId="26" fillId="11" borderId="4" xfId="0" applyFont="1" applyFill="1" applyBorder="1" applyAlignment="1">
      <alignment horizontal="center" vertical="center"/>
    </xf>
    <xf numFmtId="3" fontId="26" fillId="11" borderId="3" xfId="0" applyNumberFormat="1" applyFont="1" applyFill="1" applyBorder="1" applyAlignment="1">
      <alignment horizontal="center" vertical="center"/>
    </xf>
    <xf numFmtId="0" fontId="26" fillId="11" borderId="2" xfId="0" applyFont="1" applyFill="1" applyBorder="1" applyAlignment="1">
      <alignment horizontal="center" vertical="center"/>
    </xf>
    <xf numFmtId="0" fontId="27" fillId="11" borderId="6" xfId="0" applyFont="1" applyFill="1" applyBorder="1" applyAlignment="1">
      <alignment horizontal="center" vertical="center"/>
    </xf>
    <xf numFmtId="0" fontId="27" fillId="11" borderId="1" xfId="0" applyFont="1" applyFill="1" applyBorder="1" applyAlignment="1">
      <alignment horizontal="center" vertical="center"/>
    </xf>
    <xf numFmtId="3" fontId="27" fillId="11" borderId="5" xfId="0" applyNumberFormat="1" applyFont="1" applyFill="1" applyBorder="1" applyAlignment="1">
      <alignment horizontal="center" vertical="center"/>
    </xf>
    <xf numFmtId="0" fontId="25" fillId="4" borderId="1" xfId="0" applyFont="1" applyFill="1" applyBorder="1" applyAlignment="1">
      <alignment horizontal="center" vertical="center"/>
    </xf>
    <xf numFmtId="0" fontId="25" fillId="4" borderId="1" xfId="0" applyFont="1" applyFill="1" applyBorder="1" applyAlignment="1">
      <alignment horizontal="center" vertical="center" wrapText="1"/>
    </xf>
    <xf numFmtId="0" fontId="26" fillId="4" borderId="4" xfId="0" applyFont="1" applyFill="1" applyBorder="1" applyAlignment="1">
      <alignment horizontal="center" vertical="center" wrapText="1"/>
    </xf>
    <xf numFmtId="0" fontId="26" fillId="4" borderId="4" xfId="0" applyFont="1" applyFill="1" applyBorder="1" applyAlignment="1">
      <alignment horizontal="center" vertical="center"/>
    </xf>
    <xf numFmtId="3" fontId="26" fillId="4" borderId="4" xfId="0" applyNumberFormat="1" applyFont="1" applyFill="1" applyBorder="1" applyAlignment="1">
      <alignment horizontal="center" vertical="center"/>
    </xf>
    <xf numFmtId="3" fontId="27" fillId="4" borderId="4" xfId="0" applyNumberFormat="1" applyFont="1" applyFill="1" applyBorder="1" applyAlignment="1">
      <alignment horizontal="center" vertical="center"/>
    </xf>
    <xf numFmtId="0" fontId="27" fillId="4" borderId="1" xfId="0" applyFont="1" applyFill="1" applyBorder="1" applyAlignment="1">
      <alignment horizontal="center" vertical="center"/>
    </xf>
    <xf numFmtId="3" fontId="27" fillId="4" borderId="1" xfId="0" applyNumberFormat="1" applyFont="1" applyFill="1" applyBorder="1" applyAlignment="1">
      <alignment horizontal="center" vertical="center"/>
    </xf>
    <xf numFmtId="0" fontId="25" fillId="5" borderId="6" xfId="0" applyFont="1" applyFill="1" applyBorder="1" applyAlignment="1">
      <alignment horizontal="center" vertical="center"/>
    </xf>
    <xf numFmtId="0" fontId="25" fillId="5" borderId="1" xfId="0" applyFont="1" applyFill="1" applyBorder="1" applyAlignment="1">
      <alignment horizontal="center" vertical="center"/>
    </xf>
    <xf numFmtId="0" fontId="25" fillId="5" borderId="5" xfId="0" applyFont="1" applyFill="1" applyBorder="1" applyAlignment="1">
      <alignment horizontal="center" vertical="center" wrapText="1"/>
    </xf>
    <xf numFmtId="0" fontId="26" fillId="5" borderId="2" xfId="0" applyFont="1" applyFill="1" applyBorder="1" applyAlignment="1">
      <alignment horizontal="center" vertical="center" wrapText="1"/>
    </xf>
    <xf numFmtId="0" fontId="26" fillId="5" borderId="4" xfId="0" applyFont="1" applyFill="1" applyBorder="1" applyAlignment="1">
      <alignment horizontal="center" vertical="center"/>
    </xf>
    <xf numFmtId="3" fontId="26" fillId="5" borderId="3" xfId="0" applyNumberFormat="1" applyFont="1" applyFill="1" applyBorder="1" applyAlignment="1">
      <alignment horizontal="center" vertical="center"/>
    </xf>
    <xf numFmtId="0" fontId="26" fillId="5" borderId="2" xfId="0" applyFont="1" applyFill="1" applyBorder="1" applyAlignment="1">
      <alignment horizontal="center" vertical="center"/>
    </xf>
    <xf numFmtId="0" fontId="27" fillId="5" borderId="6" xfId="0" applyFont="1" applyFill="1" applyBorder="1" applyAlignment="1">
      <alignment horizontal="center" vertical="center"/>
    </xf>
    <xf numFmtId="0" fontId="27" fillId="5" borderId="1" xfId="0" applyFont="1" applyFill="1" applyBorder="1" applyAlignment="1">
      <alignment horizontal="center" vertical="center"/>
    </xf>
    <xf numFmtId="3" fontId="27" fillId="5" borderId="5" xfId="0" applyNumberFormat="1" applyFont="1" applyFill="1" applyBorder="1" applyAlignment="1">
      <alignment horizontal="center" vertical="center"/>
    </xf>
    <xf numFmtId="0" fontId="25" fillId="12" borderId="1" xfId="0" applyFont="1" applyFill="1" applyBorder="1" applyAlignment="1">
      <alignment horizontal="center" vertical="center"/>
    </xf>
    <xf numFmtId="0" fontId="25" fillId="12" borderId="1" xfId="0" applyFont="1" applyFill="1" applyBorder="1" applyAlignment="1">
      <alignment horizontal="center" vertical="center" wrapText="1"/>
    </xf>
    <xf numFmtId="0" fontId="26" fillId="12" borderId="4" xfId="0" applyFont="1" applyFill="1" applyBorder="1" applyAlignment="1">
      <alignment horizontal="center" vertical="center" wrapText="1"/>
    </xf>
    <xf numFmtId="0" fontId="26" fillId="12" borderId="4" xfId="0" applyFont="1" applyFill="1" applyBorder="1" applyAlignment="1">
      <alignment horizontal="center" vertical="center"/>
    </xf>
    <xf numFmtId="3" fontId="26" fillId="12" borderId="4" xfId="0" applyNumberFormat="1" applyFont="1" applyFill="1" applyBorder="1" applyAlignment="1">
      <alignment horizontal="center" vertical="center"/>
    </xf>
    <xf numFmtId="0" fontId="27" fillId="12" borderId="1" xfId="0" applyFont="1" applyFill="1" applyBorder="1" applyAlignment="1">
      <alignment horizontal="center" vertical="center"/>
    </xf>
    <xf numFmtId="3" fontId="27" fillId="12" borderId="1" xfId="0" applyNumberFormat="1" applyFont="1" applyFill="1" applyBorder="1" applyAlignment="1">
      <alignment horizontal="center" vertical="center"/>
    </xf>
    <xf numFmtId="0" fontId="25" fillId="3" borderId="1" xfId="0" applyFont="1" applyFill="1" applyBorder="1" applyAlignment="1">
      <alignment horizontal="center" vertical="center"/>
    </xf>
    <xf numFmtId="0" fontId="25" fillId="3" borderId="1" xfId="0" applyFont="1" applyFill="1" applyBorder="1" applyAlignment="1">
      <alignment horizontal="center" vertical="center" wrapText="1"/>
    </xf>
    <xf numFmtId="0" fontId="26" fillId="3" borderId="4" xfId="0" applyFont="1" applyFill="1" applyBorder="1" applyAlignment="1">
      <alignment horizontal="center" vertical="center" wrapText="1"/>
    </xf>
    <xf numFmtId="0" fontId="26" fillId="3" borderId="4" xfId="0" applyFont="1" applyFill="1" applyBorder="1" applyAlignment="1">
      <alignment horizontal="center" vertical="center"/>
    </xf>
    <xf numFmtId="3" fontId="26" fillId="3" borderId="4" xfId="0" applyNumberFormat="1" applyFont="1" applyFill="1" applyBorder="1" applyAlignment="1">
      <alignment horizontal="center" vertical="center"/>
    </xf>
    <xf numFmtId="0" fontId="27" fillId="3" borderId="1" xfId="0" applyFont="1" applyFill="1" applyBorder="1" applyAlignment="1">
      <alignment horizontal="center" vertical="center"/>
    </xf>
    <xf numFmtId="3" fontId="27" fillId="3" borderId="1" xfId="0" applyNumberFormat="1" applyFont="1" applyFill="1" applyBorder="1" applyAlignment="1">
      <alignment horizontal="center" vertical="center"/>
    </xf>
    <xf numFmtId="0" fontId="0" fillId="8" borderId="0" xfId="0" applyFill="1" applyAlignment="1">
      <alignment wrapText="1"/>
    </xf>
    <xf numFmtId="0" fontId="0" fillId="0" borderId="0" xfId="0" applyAlignment="1">
      <alignment horizontal="center" wrapText="1"/>
    </xf>
    <xf numFmtId="0" fontId="0" fillId="6" borderId="0" xfId="0" applyFill="1" applyAlignment="1">
      <alignment wrapText="1"/>
    </xf>
    <xf numFmtId="0" fontId="28" fillId="0" borderId="0" xfId="0" applyFont="1"/>
    <xf numFmtId="0" fontId="29" fillId="0" borderId="0" xfId="0" applyFont="1"/>
    <xf numFmtId="0" fontId="30" fillId="0" borderId="0" xfId="0" applyFont="1"/>
    <xf numFmtId="0" fontId="31" fillId="0" borderId="0" xfId="0" applyFont="1" applyAlignment="1">
      <alignment horizontal="center" vertical="center"/>
    </xf>
    <xf numFmtId="0" fontId="8" fillId="0" borderId="0" xfId="2" applyAlignment="1">
      <alignment horizontal="left"/>
    </xf>
    <xf numFmtId="0" fontId="31" fillId="0" borderId="0" xfId="0" applyFont="1" applyAlignment="1">
      <alignment horizontal="center"/>
    </xf>
    <xf numFmtId="0" fontId="5" fillId="0" borderId="0" xfId="0" applyFont="1" applyAlignment="1">
      <alignment horizontal="center" vertical="center"/>
    </xf>
    <xf numFmtId="0" fontId="32" fillId="0" borderId="0" xfId="0" applyFont="1" applyAlignment="1">
      <alignment horizontal="left" vertical="center"/>
    </xf>
    <xf numFmtId="0" fontId="32" fillId="0" borderId="0" xfId="2" applyFont="1" applyAlignment="1">
      <alignment horizontal="left"/>
    </xf>
    <xf numFmtId="0" fontId="32" fillId="0" borderId="0" xfId="2" applyFont="1"/>
    <xf numFmtId="0" fontId="10" fillId="6" borderId="0" xfId="0" applyFont="1" applyFill="1"/>
    <xf numFmtId="0" fontId="33" fillId="0" borderId="0" xfId="0" applyFont="1" applyAlignment="1">
      <alignment wrapText="1"/>
    </xf>
    <xf numFmtId="0" fontId="5" fillId="0" borderId="0" xfId="0" applyFont="1" applyAlignment="1">
      <alignment wrapText="1"/>
    </xf>
    <xf numFmtId="0" fontId="0" fillId="0" borderId="0" xfId="0" applyAlignment="1">
      <alignment vertical="top" wrapText="1"/>
    </xf>
    <xf numFmtId="0" fontId="6" fillId="6" borderId="0" xfId="0" applyFont="1" applyFill="1"/>
    <xf numFmtId="0" fontId="0" fillId="13" borderId="10" xfId="0" applyFill="1" applyBorder="1" applyAlignment="1">
      <alignment horizontal="center" vertical="center"/>
    </xf>
    <xf numFmtId="0" fontId="15" fillId="6" borderId="0" xfId="0" applyFont="1" applyFill="1"/>
    <xf numFmtId="4" fontId="0" fillId="0" borderId="0" xfId="0" applyNumberFormat="1" applyAlignment="1">
      <alignment horizontal="center" vertical="center"/>
    </xf>
    <xf numFmtId="0" fontId="33" fillId="0" borderId="0" xfId="0" applyFont="1"/>
    <xf numFmtId="0" fontId="33" fillId="0" borderId="0" xfId="0" applyFont="1" applyAlignment="1">
      <alignment horizontal="left"/>
    </xf>
    <xf numFmtId="0" fontId="36" fillId="15" borderId="13" xfId="0" applyFont="1" applyFill="1" applyBorder="1" applyAlignment="1">
      <alignment horizontal="center"/>
    </xf>
    <xf numFmtId="0" fontId="36" fillId="15" borderId="14" xfId="0" applyFont="1" applyFill="1" applyBorder="1" applyAlignment="1">
      <alignment horizontal="center"/>
    </xf>
    <xf numFmtId="0" fontId="36" fillId="15" borderId="15" xfId="0" applyFont="1" applyFill="1" applyBorder="1" applyAlignment="1">
      <alignment horizontal="center"/>
    </xf>
    <xf numFmtId="0" fontId="0" fillId="0" borderId="9" xfId="0" applyBorder="1" applyAlignment="1">
      <alignment horizontal="center"/>
    </xf>
    <xf numFmtId="0" fontId="35" fillId="0" borderId="10" xfId="0" applyFont="1" applyBorder="1" applyAlignment="1">
      <alignment horizontal="center"/>
    </xf>
    <xf numFmtId="0" fontId="0" fillId="0" borderId="10" xfId="0" applyBorder="1" applyAlignment="1">
      <alignment horizontal="center" vertical="center"/>
    </xf>
    <xf numFmtId="0" fontId="0" fillId="0" borderId="10" xfId="0" applyBorder="1" applyAlignment="1">
      <alignment horizontal="center"/>
    </xf>
    <xf numFmtId="0" fontId="0" fillId="0" borderId="12" xfId="0" applyBorder="1" applyAlignment="1">
      <alignment horizontal="center" vertical="center"/>
    </xf>
    <xf numFmtId="0" fontId="0" fillId="0" borderId="11" xfId="0" applyBorder="1" applyAlignment="1">
      <alignment horizontal="center"/>
    </xf>
    <xf numFmtId="0" fontId="32" fillId="0" borderId="0" xfId="2" applyFont="1" applyFill="1"/>
    <xf numFmtId="3" fontId="0" fillId="0" borderId="0" xfId="0" applyNumberFormat="1" applyAlignment="1">
      <alignment horizontal="center"/>
    </xf>
    <xf numFmtId="3" fontId="0" fillId="0" borderId="0" xfId="0" applyNumberFormat="1" applyAlignment="1">
      <alignment horizontal="center" vertical="center"/>
    </xf>
    <xf numFmtId="0" fontId="18" fillId="0" borderId="0" xfId="0" applyFont="1" applyAlignment="1">
      <alignment horizontal="center" vertical="center"/>
    </xf>
    <xf numFmtId="0" fontId="35" fillId="0" borderId="0" xfId="0" applyFont="1" applyAlignment="1">
      <alignment horizontal="center"/>
    </xf>
    <xf numFmtId="0" fontId="8" fillId="8" borderId="0" xfId="2" applyFill="1"/>
    <xf numFmtId="0" fontId="0" fillId="8" borderId="0" xfId="0" applyFill="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0" fontId="23" fillId="0" borderId="0" xfId="0" applyFont="1" applyAlignment="1">
      <alignment horizontal="center"/>
    </xf>
    <xf numFmtId="0" fontId="23" fillId="0" borderId="0" xfId="0" applyFont="1" applyAlignment="1">
      <alignment horizontal="center" vertical="center"/>
    </xf>
    <xf numFmtId="0" fontId="31" fillId="0" borderId="0" xfId="0" applyFont="1"/>
    <xf numFmtId="0" fontId="37" fillId="0" borderId="0" xfId="0" applyFont="1" applyAlignment="1">
      <alignment horizontal="center" vertical="center" wrapText="1"/>
    </xf>
    <xf numFmtId="0" fontId="37" fillId="0" borderId="0" xfId="0" applyFont="1" applyAlignment="1">
      <alignment horizontal="center" vertical="center"/>
    </xf>
    <xf numFmtId="0" fontId="38" fillId="0" borderId="0" xfId="0" applyFont="1" applyAlignment="1">
      <alignment horizontal="center"/>
    </xf>
    <xf numFmtId="0" fontId="37" fillId="0" borderId="0" xfId="0" applyFont="1" applyAlignment="1">
      <alignment horizontal="center"/>
    </xf>
    <xf numFmtId="0" fontId="0" fillId="8" borderId="0" xfId="0" applyFill="1" applyAlignment="1">
      <alignment horizontal="center" vertical="center"/>
    </xf>
    <xf numFmtId="0" fontId="8" fillId="0" borderId="0" xfId="2" applyAlignment="1"/>
    <xf numFmtId="0" fontId="8" fillId="0" borderId="0" xfId="2" applyFill="1"/>
    <xf numFmtId="0" fontId="0" fillId="16" borderId="0" xfId="0" applyFill="1"/>
    <xf numFmtId="0" fontId="0" fillId="9" borderId="0" xfId="0" applyFill="1" applyAlignment="1">
      <alignment horizontal="center"/>
    </xf>
    <xf numFmtId="0" fontId="31" fillId="9" borderId="0" xfId="0" applyFont="1" applyFill="1" applyAlignment="1">
      <alignment horizontal="center"/>
    </xf>
    <xf numFmtId="0" fontId="0" fillId="9" borderId="0" xfId="0" applyFill="1" applyAlignment="1">
      <alignment horizontal="center" vertical="center"/>
    </xf>
    <xf numFmtId="14" fontId="0" fillId="9" borderId="0" xfId="0" applyNumberFormat="1" applyFill="1" applyAlignment="1">
      <alignment horizontal="center"/>
    </xf>
    <xf numFmtId="0" fontId="18" fillId="0" borderId="0" xfId="0" applyFont="1" applyAlignment="1">
      <alignment horizontal="center"/>
    </xf>
    <xf numFmtId="0" fontId="18" fillId="8" borderId="0" xfId="0" applyFont="1" applyFill="1" applyAlignment="1">
      <alignment horizontal="center"/>
    </xf>
    <xf numFmtId="0" fontId="6" fillId="0" borderId="0" xfId="0" applyFont="1" applyAlignment="1">
      <alignment horizontal="center" vertical="center"/>
    </xf>
    <xf numFmtId="0" fontId="18" fillId="9" borderId="0" xfId="0" applyFont="1" applyFill="1" applyAlignment="1">
      <alignment horizontal="center"/>
    </xf>
    <xf numFmtId="0" fontId="8" fillId="3" borderId="0" xfId="2" applyFill="1"/>
    <xf numFmtId="0" fontId="0" fillId="3" borderId="0" xfId="0" applyFill="1"/>
    <xf numFmtId="0" fontId="32" fillId="9" borderId="0" xfId="0" applyFont="1" applyFill="1" applyAlignment="1">
      <alignment horizontal="left" vertical="center"/>
    </xf>
    <xf numFmtId="0" fontId="32" fillId="0" borderId="0" xfId="2" applyFont="1" applyFill="1" applyAlignment="1">
      <alignment horizontal="left" vertical="center"/>
    </xf>
    <xf numFmtId="0" fontId="32" fillId="0" borderId="10" xfId="0" applyFont="1" applyBorder="1" applyAlignment="1">
      <alignment horizontal="left" vertical="center"/>
    </xf>
    <xf numFmtId="0" fontId="0" fillId="17" borderId="0" xfId="0" applyFill="1" applyAlignment="1">
      <alignment horizontal="center" vertical="center"/>
    </xf>
    <xf numFmtId="0" fontId="0" fillId="14" borderId="0" xfId="0" applyFill="1" applyAlignment="1">
      <alignment horizontal="center" vertical="center"/>
    </xf>
    <xf numFmtId="0" fontId="0" fillId="13" borderId="0" xfId="0" applyFill="1" applyAlignment="1">
      <alignment horizontal="center" vertical="center"/>
    </xf>
    <xf numFmtId="0" fontId="5" fillId="0" borderId="10" xfId="0" applyFont="1" applyBorder="1" applyAlignment="1">
      <alignment horizontal="center"/>
    </xf>
    <xf numFmtId="0" fontId="40" fillId="0" borderId="0" xfId="0" applyFont="1"/>
    <xf numFmtId="0" fontId="31" fillId="9" borderId="10" xfId="0" applyFont="1" applyFill="1" applyBorder="1" applyAlignment="1">
      <alignment horizontal="center"/>
    </xf>
    <xf numFmtId="0" fontId="41" fillId="0" borderId="0" xfId="0" applyFont="1" applyAlignment="1">
      <alignment horizontal="center" vertical="center"/>
    </xf>
    <xf numFmtId="0" fontId="41" fillId="0" borderId="0" xfId="0" applyFont="1" applyAlignment="1">
      <alignment horizontal="left" vertical="center" wrapText="1"/>
    </xf>
    <xf numFmtId="0" fontId="3" fillId="0" borderId="16" xfId="0" applyFont="1" applyBorder="1" applyAlignment="1">
      <alignment horizontal="center" vertical="center"/>
    </xf>
    <xf numFmtId="0" fontId="0" fillId="19" borderId="16" xfId="0" applyFill="1" applyBorder="1" applyAlignment="1">
      <alignment vertical="center"/>
    </xf>
    <xf numFmtId="0" fontId="3" fillId="19" borderId="16" xfId="0" applyFont="1" applyFill="1" applyBorder="1" applyAlignment="1">
      <alignment horizontal="center" vertical="center"/>
    </xf>
    <xf numFmtId="0" fontId="33" fillId="0" borderId="16" xfId="0" applyFont="1" applyBorder="1" applyAlignment="1">
      <alignment vertical="center"/>
    </xf>
    <xf numFmtId="0" fontId="0" fillId="0" borderId="16" xfId="0" applyBorder="1" applyAlignment="1">
      <alignment vertical="center"/>
    </xf>
    <xf numFmtId="0" fontId="18" fillId="18" borderId="16" xfId="0" applyFont="1" applyFill="1" applyBorder="1" applyAlignment="1">
      <alignment vertical="center"/>
    </xf>
    <xf numFmtId="0" fontId="0" fillId="0" borderId="16" xfId="0" applyBorder="1" applyAlignment="1">
      <alignment vertical="center" wrapText="1"/>
    </xf>
    <xf numFmtId="0" fontId="0" fillId="4" borderId="16" xfId="0" applyFill="1" applyBorder="1" applyAlignment="1">
      <alignment vertical="center" wrapText="1"/>
    </xf>
    <xf numFmtId="0" fontId="0" fillId="0" borderId="17" xfId="0" applyBorder="1" applyAlignment="1">
      <alignment vertical="center"/>
    </xf>
    <xf numFmtId="0" fontId="41" fillId="0" borderId="0" xfId="0" applyFont="1" applyAlignment="1">
      <alignment horizontal="center" vertical="center" wrapText="1"/>
    </xf>
    <xf numFmtId="0" fontId="6" fillId="0" borderId="16" xfId="0" applyFont="1" applyBorder="1" applyAlignment="1">
      <alignment horizontal="left" vertical="center"/>
    </xf>
    <xf numFmtId="0" fontId="38" fillId="0" borderId="16" xfId="0" applyFont="1" applyBorder="1" applyAlignment="1">
      <alignment horizontal="left" vertical="center"/>
    </xf>
    <xf numFmtId="0" fontId="18" fillId="0" borderId="16" xfId="0" applyFont="1" applyBorder="1" applyAlignment="1">
      <alignment horizontal="left" vertical="center"/>
    </xf>
    <xf numFmtId="0" fontId="34" fillId="0" borderId="16" xfId="0" applyFont="1" applyBorder="1" applyAlignment="1">
      <alignment horizontal="left" vertical="center"/>
    </xf>
    <xf numFmtId="0" fontId="18" fillId="0" borderId="16" xfId="0" applyFont="1" applyBorder="1" applyAlignment="1">
      <alignment horizontal="left" vertical="center" wrapText="1"/>
    </xf>
    <xf numFmtId="0" fontId="18" fillId="8" borderId="16" xfId="0" applyFont="1" applyFill="1" applyBorder="1" applyAlignment="1">
      <alignment horizontal="left" vertical="center"/>
    </xf>
    <xf numFmtId="0" fontId="41" fillId="0" borderId="16" xfId="0" applyFont="1" applyBorder="1" applyAlignment="1">
      <alignment horizontal="left" vertical="center"/>
    </xf>
    <xf numFmtId="0" fontId="39" fillId="0" borderId="16" xfId="0" applyFont="1" applyBorder="1" applyAlignment="1">
      <alignment horizontal="left" vertical="center"/>
    </xf>
    <xf numFmtId="0" fontId="6" fillId="0" borderId="16" xfId="2" applyFont="1" applyFill="1" applyBorder="1" applyAlignment="1">
      <alignment horizontal="left" vertical="center"/>
    </xf>
    <xf numFmtId="0" fontId="18" fillId="0" borderId="16" xfId="2" applyFont="1" applyBorder="1" applyAlignment="1">
      <alignment horizontal="left" vertical="center"/>
    </xf>
    <xf numFmtId="0" fontId="6" fillId="0" borderId="16" xfId="2" applyFont="1" applyBorder="1" applyAlignment="1">
      <alignment horizontal="left" vertical="center"/>
    </xf>
    <xf numFmtId="0" fontId="8" fillId="0" borderId="16" xfId="2" applyBorder="1" applyAlignment="1">
      <alignment horizontal="left" vertical="center"/>
    </xf>
    <xf numFmtId="0" fontId="32" fillId="0" borderId="16" xfId="0" applyFont="1" applyBorder="1" applyAlignment="1">
      <alignment horizontal="left" vertical="center"/>
    </xf>
    <xf numFmtId="0" fontId="41" fillId="0" borderId="16" xfId="0" applyFont="1" applyBorder="1" applyAlignment="1">
      <alignment horizontal="left" vertical="center" wrapText="1"/>
    </xf>
    <xf numFmtId="0" fontId="33" fillId="0" borderId="16" xfId="0" applyFont="1" applyBorder="1" applyAlignment="1">
      <alignment horizontal="left" vertical="center"/>
    </xf>
    <xf numFmtId="0" fontId="42" fillId="0" borderId="16" xfId="0" applyFont="1" applyBorder="1" applyAlignment="1">
      <alignment horizontal="left" vertical="center"/>
    </xf>
    <xf numFmtId="3" fontId="38" fillId="0" borderId="16" xfId="0" applyNumberFormat="1" applyFont="1" applyBorder="1" applyAlignment="1">
      <alignment horizontal="left" vertical="center"/>
    </xf>
    <xf numFmtId="0" fontId="7" fillId="0" borderId="16" xfId="0" applyFont="1" applyBorder="1" applyAlignment="1">
      <alignment horizontal="left" vertical="center"/>
    </xf>
    <xf numFmtId="0" fontId="5" fillId="0" borderId="16" xfId="0" applyFont="1" applyBorder="1" applyAlignment="1">
      <alignment horizontal="left" vertical="center" wrapText="1"/>
    </xf>
    <xf numFmtId="4" fontId="18" fillId="0" borderId="16" xfId="0" applyNumberFormat="1" applyFont="1" applyBorder="1" applyAlignment="1">
      <alignment horizontal="left" vertical="center"/>
    </xf>
    <xf numFmtId="4" fontId="6" fillId="0" borderId="16" xfId="0" applyNumberFormat="1" applyFont="1" applyBorder="1" applyAlignment="1">
      <alignment horizontal="left" vertical="center"/>
    </xf>
    <xf numFmtId="0" fontId="6" fillId="0" borderId="16" xfId="0" applyFont="1" applyBorder="1" applyAlignment="1">
      <alignment horizontal="left" vertical="center" wrapText="1"/>
    </xf>
    <xf numFmtId="4" fontId="34" fillId="0" borderId="16" xfId="0" applyNumberFormat="1" applyFont="1" applyBorder="1" applyAlignment="1">
      <alignment horizontal="left" vertical="center"/>
    </xf>
    <xf numFmtId="0" fontId="39" fillId="0" borderId="0" xfId="0" applyFont="1" applyAlignment="1">
      <alignment horizontal="center" vertical="center"/>
    </xf>
    <xf numFmtId="0" fontId="43" fillId="0" borderId="0" xfId="0" applyFont="1" applyAlignment="1">
      <alignment horizontal="center" vertical="center" wrapText="1"/>
    </xf>
    <xf numFmtId="0" fontId="43" fillId="0" borderId="0" xfId="0" applyFont="1" applyAlignment="1">
      <alignment vertical="center" wrapText="1"/>
    </xf>
    <xf numFmtId="0" fontId="43" fillId="0" borderId="0" xfId="0" applyFont="1" applyAlignment="1">
      <alignment horizontal="center" wrapText="1"/>
    </xf>
    <xf numFmtId="0" fontId="44" fillId="0" borderId="0" xfId="0" applyFont="1" applyAlignment="1">
      <alignment vertical="center" wrapText="1"/>
    </xf>
    <xf numFmtId="0" fontId="45" fillId="0" borderId="0" xfId="0" applyFont="1" applyAlignment="1">
      <alignment vertical="center" wrapText="1"/>
    </xf>
    <xf numFmtId="0" fontId="43" fillId="0" borderId="0" xfId="0" applyFont="1" applyAlignment="1">
      <alignment horizontal="center" vertical="center"/>
    </xf>
    <xf numFmtId="0" fontId="46" fillId="0" borderId="0" xfId="0" applyFont="1" applyAlignment="1">
      <alignment wrapText="1"/>
    </xf>
    <xf numFmtId="0" fontId="0" fillId="0" borderId="0" xfId="0" applyAlignment="1">
      <alignment vertical="center" wrapText="1"/>
    </xf>
    <xf numFmtId="0" fontId="47" fillId="0" borderId="0" xfId="0" applyFont="1" applyAlignment="1">
      <alignment vertical="center" wrapText="1"/>
    </xf>
    <xf numFmtId="0" fontId="6" fillId="0" borderId="17" xfId="2" applyFont="1" applyBorder="1" applyAlignment="1">
      <alignment horizontal="left" vertical="center"/>
    </xf>
    <xf numFmtId="0" fontId="0" fillId="0" borderId="16" xfId="0" applyBorder="1" applyAlignment="1">
      <alignment horizontal="center"/>
    </xf>
    <xf numFmtId="0" fontId="3" fillId="0" borderId="0" xfId="0" applyFont="1"/>
    <xf numFmtId="0" fontId="41" fillId="0" borderId="16" xfId="0" applyFont="1" applyBorder="1" applyAlignment="1">
      <alignment horizontal="center" vertical="center" wrapText="1"/>
    </xf>
    <xf numFmtId="0" fontId="3" fillId="0" borderId="16" xfId="0" applyFont="1" applyBorder="1" applyAlignment="1">
      <alignment horizontal="center"/>
    </xf>
    <xf numFmtId="0" fontId="0" fillId="0" borderId="16" xfId="0" applyBorder="1" applyAlignment="1">
      <alignment horizontal="center" vertical="center"/>
    </xf>
    <xf numFmtId="0" fontId="0" fillId="0" borderId="16" xfId="0" applyBorder="1" applyAlignment="1">
      <alignment horizontal="left" vertical="center"/>
    </xf>
    <xf numFmtId="3" fontId="0" fillId="0" borderId="16" xfId="0" applyNumberFormat="1" applyBorder="1" applyAlignment="1">
      <alignment horizontal="left" vertical="center"/>
    </xf>
    <xf numFmtId="0" fontId="0" fillId="0" borderId="16" xfId="0" applyBorder="1" applyAlignment="1">
      <alignment horizontal="left" vertical="center" wrapText="1"/>
    </xf>
    <xf numFmtId="0" fontId="0" fillId="0" borderId="18" xfId="0" applyBorder="1" applyAlignment="1">
      <alignment horizontal="left" vertical="center"/>
    </xf>
    <xf numFmtId="0" fontId="2" fillId="0" borderId="0" xfId="0" applyFont="1"/>
    <xf numFmtId="0" fontId="2" fillId="0" borderId="0" xfId="0" applyFont="1" applyAlignment="1">
      <alignment horizontal="left"/>
    </xf>
    <xf numFmtId="0" fontId="6" fillId="0" borderId="17" xfId="0" applyFont="1" applyBorder="1" applyAlignment="1">
      <alignment horizontal="left" vertical="center"/>
    </xf>
    <xf numFmtId="0" fontId="0" fillId="0" borderId="17" xfId="0" applyBorder="1" applyAlignment="1">
      <alignment horizontal="left" vertical="center"/>
    </xf>
    <xf numFmtId="0" fontId="2" fillId="0" borderId="0" xfId="0" applyFont="1" applyAlignment="1">
      <alignment horizontal="center"/>
    </xf>
    <xf numFmtId="0" fontId="2" fillId="0" borderId="0" xfId="0" applyFont="1" applyAlignment="1">
      <alignment horizontal="left" vertical="center"/>
    </xf>
    <xf numFmtId="0" fontId="2" fillId="0" borderId="0" xfId="0" applyFont="1" applyAlignment="1">
      <alignment vertical="top"/>
    </xf>
    <xf numFmtId="0" fontId="48" fillId="0" borderId="16" xfId="2" applyFont="1" applyFill="1" applyBorder="1" applyAlignment="1">
      <alignment horizontal="left" vertical="center" wrapText="1"/>
    </xf>
    <xf numFmtId="0" fontId="49" fillId="0" borderId="16" xfId="2" applyFont="1" applyFill="1" applyBorder="1" applyAlignment="1">
      <alignment horizontal="left" vertical="center"/>
    </xf>
    <xf numFmtId="0" fontId="48" fillId="0" borderId="16" xfId="2" applyFont="1" applyBorder="1" applyAlignment="1">
      <alignment horizontal="left" vertical="center"/>
    </xf>
    <xf numFmtId="0" fontId="48" fillId="0" borderId="16" xfId="2" applyFont="1" applyFill="1" applyBorder="1" applyAlignment="1">
      <alignment horizontal="left" vertical="center"/>
    </xf>
    <xf numFmtId="0" fontId="49" fillId="0" borderId="16" xfId="2" applyFont="1" applyBorder="1" applyAlignment="1">
      <alignment horizontal="left" vertical="center"/>
    </xf>
    <xf numFmtId="0" fontId="8" fillId="0" borderId="17" xfId="2" applyBorder="1" applyAlignment="1">
      <alignment horizontal="left"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center" vertical="center"/>
    </xf>
    <xf numFmtId="0" fontId="24" fillId="3" borderId="6" xfId="0" applyFont="1" applyFill="1" applyBorder="1" applyAlignment="1">
      <alignment horizontal="center" vertical="center"/>
    </xf>
    <xf numFmtId="0" fontId="24" fillId="3" borderId="7" xfId="0" applyFont="1" applyFill="1" applyBorder="1" applyAlignment="1">
      <alignment horizontal="center" vertical="center"/>
    </xf>
    <xf numFmtId="0" fontId="24" fillId="3" borderId="5" xfId="0" applyFont="1" applyFill="1" applyBorder="1" applyAlignment="1">
      <alignment horizontal="center" vertical="center"/>
    </xf>
    <xf numFmtId="0" fontId="24" fillId="10" borderId="6" xfId="0" applyFont="1" applyFill="1" applyBorder="1" applyAlignment="1">
      <alignment horizontal="center" vertical="center"/>
    </xf>
    <xf numFmtId="0" fontId="24" fillId="10" borderId="7" xfId="0" applyFont="1" applyFill="1" applyBorder="1" applyAlignment="1">
      <alignment horizontal="center" vertical="center"/>
    </xf>
    <xf numFmtId="0" fontId="24" fillId="10" borderId="5" xfId="0" applyFont="1" applyFill="1" applyBorder="1" applyAlignment="1">
      <alignment horizontal="center" vertical="center"/>
    </xf>
    <xf numFmtId="0" fontId="24" fillId="11" borderId="6" xfId="0" applyFont="1" applyFill="1" applyBorder="1" applyAlignment="1">
      <alignment horizontal="center" vertical="center"/>
    </xf>
    <xf numFmtId="0" fontId="24" fillId="11" borderId="7" xfId="0" applyFont="1" applyFill="1" applyBorder="1" applyAlignment="1">
      <alignment horizontal="center" vertical="center"/>
    </xf>
    <xf numFmtId="0" fontId="24" fillId="11"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5" xfId="0" applyFont="1" applyFill="1" applyBorder="1" applyAlignment="1">
      <alignment horizontal="center" vertical="center"/>
    </xf>
    <xf numFmtId="0" fontId="24" fillId="5" borderId="6"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5" xfId="0" applyFont="1" applyFill="1" applyBorder="1" applyAlignment="1">
      <alignment horizontal="center" vertical="center"/>
    </xf>
    <xf numFmtId="0" fontId="24" fillId="12" borderId="6" xfId="0" applyFont="1" applyFill="1" applyBorder="1" applyAlignment="1">
      <alignment horizontal="center" vertical="center"/>
    </xf>
    <xf numFmtId="0" fontId="24" fillId="12" borderId="7" xfId="0" applyFont="1" applyFill="1" applyBorder="1" applyAlignment="1">
      <alignment horizontal="center" vertical="center"/>
    </xf>
    <xf numFmtId="0" fontId="3" fillId="9" borderId="0" xfId="0" applyFont="1" applyFill="1" applyAlignment="1">
      <alignment horizontal="center" wrapText="1"/>
    </xf>
    <xf numFmtId="0" fontId="1" fillId="0" borderId="18" xfId="0" applyFont="1" applyBorder="1" applyAlignment="1">
      <alignment horizontal="left" vertical="center"/>
    </xf>
    <xf numFmtId="0" fontId="1" fillId="0" borderId="18" xfId="0" applyFont="1" applyBorder="1" applyAlignment="1">
      <alignment horizontal="left" vertical="center" wrapText="1"/>
    </xf>
    <xf numFmtId="0" fontId="1" fillId="0" borderId="16" xfId="0" applyFont="1" applyBorder="1" applyAlignment="1">
      <alignment horizontal="left" vertical="center"/>
    </xf>
    <xf numFmtId="0" fontId="1" fillId="0" borderId="16" xfId="0" applyFont="1" applyBorder="1" applyAlignment="1">
      <alignment horizontal="left" vertical="center" wrapText="1"/>
    </xf>
    <xf numFmtId="0" fontId="1" fillId="4" borderId="16" xfId="0" applyFont="1" applyFill="1" applyBorder="1" applyAlignment="1">
      <alignment horizontal="left" vertical="center"/>
    </xf>
    <xf numFmtId="4" fontId="1" fillId="0" borderId="16" xfId="0" applyNumberFormat="1" applyFont="1" applyBorder="1" applyAlignment="1">
      <alignment horizontal="left" vertical="center"/>
    </xf>
    <xf numFmtId="3" fontId="1" fillId="0" borderId="16" xfId="0" applyNumberFormat="1" applyFont="1" applyBorder="1" applyAlignment="1">
      <alignment horizontal="left" vertical="center"/>
    </xf>
    <xf numFmtId="0" fontId="1" fillId="0" borderId="17" xfId="0" applyFont="1" applyBorder="1" applyAlignment="1">
      <alignment horizontal="left" vertical="center"/>
    </xf>
    <xf numFmtId="43" fontId="1" fillId="0" borderId="16" xfId="0" applyNumberFormat="1" applyFont="1" applyBorder="1" applyAlignment="1">
      <alignment vertical="center"/>
    </xf>
    <xf numFmtId="43" fontId="1" fillId="0" borderId="17" xfId="0" applyNumberFormat="1" applyFont="1" applyBorder="1" applyAlignment="1">
      <alignment vertical="center"/>
    </xf>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horizontal="left" vertical="center"/>
    </xf>
    <xf numFmtId="0" fontId="1" fillId="0" borderId="0" xfId="0" applyFont="1"/>
    <xf numFmtId="0" fontId="1" fillId="0" borderId="0" xfId="0" applyFont="1" applyAlignment="1">
      <alignment vertical="top"/>
    </xf>
    <xf numFmtId="0" fontId="1" fillId="0" borderId="10" xfId="0" applyFont="1" applyBorder="1" applyAlignment="1">
      <alignment horizontal="center"/>
    </xf>
  </cellXfs>
  <cellStyles count="3">
    <cellStyle name="Hyperlink" xfId="2" xr:uid="{00000000-0005-0000-0000-000000000000}"/>
    <cellStyle name="Normal" xfId="0" builtinId="0"/>
    <cellStyle name="Vírgula" xfId="1" builtinId="3"/>
  </cellStyles>
  <dxfs count="102">
    <dxf>
      <alignment horizontal="center"/>
    </dxf>
    <dxf>
      <font>
        <b val="0"/>
        <i val="0"/>
        <strike val="0"/>
        <condense val="0"/>
        <extend val="0"/>
        <outline val="0"/>
        <shadow val="0"/>
        <u val="none"/>
        <vertAlign val="baseline"/>
        <sz val="11"/>
        <color rgb="FF000000"/>
        <name val="Calibri"/>
        <charset val="1"/>
        <scheme val="none"/>
      </font>
      <alignment horizontal="cent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fill>
        <patternFill patternType="none"/>
      </fill>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fill>
        <patternFill patternType="none"/>
      </fill>
      <alignment horizontal="left" vertical="center" textRotation="0" wrapText="0" indent="0" justifyLastLine="0" shrinkToFit="0" readingOrder="0"/>
    </dxf>
    <dxf>
      <fill>
        <patternFill patternType="none"/>
      </fill>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theme="4" tint="0.79998168889431442"/>
          <bgColor theme="4" tint="0.79998168889431442"/>
        </patternFill>
      </fill>
      <alignment horizontal="center"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bottom style="thick">
          <color theme="0"/>
        </bottom>
      </border>
    </dxf>
    <dxf>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theme="4" tint="0.79998168889431442"/>
          <bgColor theme="4" tint="0.79998168889431442"/>
        </patternFill>
      </fill>
      <alignment horizontal="center"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bottom style="thick">
          <color theme="0"/>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alignment horizontal="left"/>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style="thin">
          <color indexed="64"/>
        </bottom>
        <vertical/>
        <horizontal/>
      </bord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theme="4" tint="0.59999389629810485"/>
          <bgColor theme="4" tint="0.5999938962981048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none"/>
      </fill>
    </dxf>
    <dxf>
      <fill>
        <patternFill patternType="none"/>
      </fill>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none"/>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3C3E868-221A-417A-998A-F97196A79777}" name="Tabela16" displayName="Tabela16" ref="A1:D69" totalsRowShown="0" headerRowDxfId="101">
  <autoFilter ref="A1:D69" xr:uid="{F3C3E868-221A-417A-998A-F97196A79777}"/>
  <tableColumns count="4">
    <tableColumn id="1" xr3:uid="{44129B1B-DF9E-46E4-B994-C685AE9ECCA8}" name="ABREVIAÇÃO"/>
    <tableColumn id="2" xr3:uid="{71A77038-CACA-40AC-8B5C-B08475A53428}" name="SIGNIFICADO"/>
    <tableColumn id="3" xr3:uid="{F65F4DDE-3368-439D-AA3B-373FA65ADE2B}" name="ABREVIAÇÃO2"/>
    <tableColumn id="4" xr3:uid="{F8DC8C88-B231-4A5A-B871-CC3196213A44}" name="SIGNIFICADO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Tabela11" displayName="Tabela11" ref="A1:AW289" totalsRowShown="0" headerRowDxfId="100" dataDxfId="99">
  <autoFilter ref="A1:AW289" xr:uid="{00000000-0009-0000-0100-00000B000000}"/>
  <sortState xmlns:xlrd2="http://schemas.microsoft.com/office/spreadsheetml/2017/richdata2" ref="A2:AV280">
    <sortCondition ref="J1:J280"/>
  </sortState>
  <tableColumns count="49">
    <tableColumn id="11" xr3:uid="{4C4054D7-95CD-42B0-8C4C-0E7D5EE05B31}" name="CNUC?" dataDxfId="98"/>
    <tableColumn id="16" xr3:uid="{9ADD8920-0283-4B51-8D00-74F0D3E4F37F}" name="ID_UC" dataDxfId="97"/>
    <tableColumn id="17" xr3:uid="{349318E3-5D31-48B8-9C80-B8C809769C26}" name="CÓDIGO_UC" dataDxfId="96"/>
    <tableColumn id="18" xr3:uid="{4543A872-8B61-46E1-8D3F-51D5AAC8884A}" name="Informações Gerais" dataDxfId="95"/>
    <tableColumn id="2" xr3:uid="{00000000-0010-0000-0000-000002000000}" name="Nome da UC" dataDxfId="94"/>
    <tableColumn id="1" xr3:uid="{00000000-0010-0000-0000-000001000000}" name="Categoria de Manejo" dataDxfId="93"/>
    <tableColumn id="13" xr3:uid="{2E562E7D-EEC4-4700-94BC-FA968EFF04C8}" name="Esfera Administrativa" dataDxfId="92"/>
    <tableColumn id="19" xr3:uid="{AEAE94D2-25C2-4359-A5C8-73A93166CC1B}" name="Categoria IUCN" dataDxfId="91"/>
    <tableColumn id="4" xr3:uid="{00000000-0010-0000-0000-000004000000}" name="ato de criação" dataDxfId="90" dataCellStyle="Hyperlink"/>
    <tableColumn id="5" xr3:uid="{00000000-0010-0000-0000-000005000000}" name="Municípios abrangidos" dataDxfId="89"/>
    <tableColumn id="6" xr3:uid="{00000000-0010-0000-0000-000006000000}" name="Área Ato Legal de Criação" dataDxfId="88"/>
    <tableColumn id="20" xr3:uid="{0F3CAF6D-A954-4A5B-AEA6-7D47BF702518}" name="UF" dataDxfId="87"/>
    <tableColumn id="3" xr3:uid="{00000000-0010-0000-0000-000003000000}" name="Ano de Criação" dataDxfId="86"/>
    <tableColumn id="21" xr3:uid="{C8323FF8-6E18-4994-9A24-0996A3340325}" name="Ano do ato legal mais recente" dataDxfId="85"/>
    <tableColumn id="22" xr3:uid="{A34C7037-AA2F-4631-8027-013584DC8A1F}" name="Outros atos legais" dataDxfId="84"/>
    <tableColumn id="7" xr3:uid="{00000000-0010-0000-0000-000007000000}" name="Plano de manejo" dataDxfId="83"/>
    <tableColumn id="23" xr3:uid="{9D5FEA30-3E0E-460B-ABD0-F2BC09CF8E5D}" name="Conselho gestor" dataDxfId="82"/>
    <tableColumn id="14" xr3:uid="{B97A53BF-0285-4E51-903E-F7DD7A34E6EF}" name="Órgão gestor" dataDxfId="81"/>
    <tableColumn id="24" xr3:uid="{9D69F273-8C57-402B-96BC-12583F4B999C}" name="Fonte da área: (1 = SHP, 0 = Ato legal)" dataDxfId="80"/>
    <tableColumn id="25" xr3:uid="{17BA1B32-068D-42AC-95A2-933EBFBCEA4F}" name="Área soma biomas" dataDxfId="79"/>
    <tableColumn id="26" xr3:uid="{DCC784C3-E6DE-496F-A9EF-3146FC1F2167}" name="Área soma Biomas Continental" dataDxfId="78"/>
    <tableColumn id="33" xr3:uid="{0D419223-7D8A-44E1-AF63-27B6A4A6B0FB}" name="Bioma Área (ha)" dataDxfId="77"/>
    <tableColumn id="32" xr3:uid="{C74FED04-8AC7-47F1-B6A4-232EDFC584CB}" name="Amazônia" dataDxfId="76"/>
    <tableColumn id="31" xr3:uid="{CBD8784B-D906-4DD3-BD0E-11C189391686}" name="Caatinga" dataDxfId="75"/>
    <tableColumn id="30" xr3:uid="{51EADEB0-898B-4A12-BC88-5EEE2B791D60}" name="Cerrado" dataDxfId="74"/>
    <tableColumn id="29" xr3:uid="{CEDD1DA2-FC1E-4671-9D5B-F7BA9773092A}" name="Mata Atlântica" dataDxfId="73"/>
    <tableColumn id="28" xr3:uid="{EE156473-973E-4C39-8AF4-ACDFE3E75F18}" name="Pampa" dataDxfId="72"/>
    <tableColumn id="27" xr3:uid="{2E766EAF-D7F1-44BA-85A1-BE8312589902}" name="Pantanal" dataDxfId="71"/>
    <tableColumn id="48" xr3:uid="{E573687E-A6CE-4936-9CCF-D68EF2DC8593}" name="Área Marinha" dataDxfId="70"/>
    <tableColumn id="47" xr3:uid="{4E10EEFF-691B-4C1E-AC69-98B43DBA042E}" name="Bioma declarado" dataDxfId="69"/>
    <tableColumn id="46" xr3:uid="{B45CED4A-7997-48C0-9956-33881E0FA441}" name="% Além da linha de costa" dataDxfId="68"/>
    <tableColumn id="45" xr3:uid="{FE8E2421-E526-43F1-8775-A47191B41D67}" name="Grupo" dataDxfId="67"/>
    <tableColumn id="44" xr3:uid="{146B9A75-A4BA-4CA5-88FF-5E6818C50E56}" name="PI" dataDxfId="66"/>
    <tableColumn id="43" xr3:uid="{4E654747-9054-4F15-BAA9-1A8B2AA25A6A}" name="US" dataDxfId="65"/>
    <tableColumn id="42" xr3:uid="{6DD7F779-648D-4890-A705-D846ED0A05C2}" name="Recortes (ha)" dataDxfId="64"/>
    <tableColumn id="41" xr3:uid="{DC6A5ACE-E243-4796-A30C-9B7A3067CD02}" name="Mar Territorial" dataDxfId="63"/>
    <tableColumn id="40" xr3:uid="{EA533183-78B9-4036-8A21-8EAF2533865E}" name="Município Costeiro" dataDxfId="62"/>
    <tableColumn id="39" xr3:uid="{029277BC-E2FD-4955-B6E6-97C360985190}" name="Município Costeiro + Área Marinha" dataDxfId="61"/>
    <tableColumn id="38" xr3:uid="{90762AE6-DABF-43A6-8EF3-C661988D179A}" name="Programa/Projeto" dataDxfId="60"/>
    <tableColumn id="37" xr3:uid="{99AC4631-2527-4806-9E56-71DE82CAF4FB}" name="Sítios do Patrimônio Mundial" dataDxfId="59"/>
    <tableColumn id="36" xr3:uid="{2A11BC2F-8D7D-4F1E-8497-223790A2A27C}" name="Sítios Ramsar" dataDxfId="58"/>
    <tableColumn id="35" xr3:uid="{E35BB79D-C5FB-48C0-9A5C-24CD0E77B4FD}" name="Mosaico" dataDxfId="57"/>
    <tableColumn id="34" xr3:uid="{B977CA4E-8595-46CE-83C9-CF347FA37F1A}" name="WDPAID" dataDxfId="56"/>
    <tableColumn id="10" xr3:uid="{AC8E6E9B-237A-4096-9F22-FF9FC432EBDF}" name="INSTRUMENTO PLANO DE MANEJO" dataDxfId="55"/>
    <tableColumn id="12" xr3:uid="{BAD237F2-67D6-4C00-A86D-00396A7D890F}" name=" LINK PLANO DE MANEJO" dataDxfId="54"/>
    <tableColumn id="8" xr3:uid="{00000000-0010-0000-0000-000008000000}" name="MAPA" dataDxfId="53"/>
    <tableColumn id="15" xr3:uid="{BDAD6149-6CB8-4B88-AF24-EF76C8007A8E}" name="LINK PARA ATO DE CRIAÇÃO" dataDxfId="52"/>
    <tableColumn id="9" xr3:uid="{7AB8DB87-15C5-492F-8900-D94009BE2540}" name="observações" dataDxfId="51"/>
    <tableColumn id="49" xr3:uid="{CD9EC20E-C8AD-4A9A-B47A-E5F8687B8667}" name="Encaminhamentos" dataDxfId="5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ela6" displayName="Tabela6" ref="A1:L64" totalsRowShown="0" headerRowDxfId="49">
  <autoFilter ref="A1:L64" xr:uid="{00000000-0009-0000-0100-000006000000}"/>
  <sortState xmlns:xlrd2="http://schemas.microsoft.com/office/spreadsheetml/2017/richdata2" ref="A2:J63">
    <sortCondition ref="B1:B63"/>
  </sortState>
  <tableColumns count="12">
    <tableColumn id="1" xr3:uid="{00000000-0010-0000-0300-000001000000}" name="SNUC?" dataDxfId="48"/>
    <tableColumn id="2" xr3:uid="{00000000-0010-0000-0300-000002000000}" name="Categoria" dataDxfId="47"/>
    <tableColumn id="3" xr3:uid="{00000000-0010-0000-0300-000003000000}" name="UC MUNICIPAL" dataDxfId="46"/>
    <tableColumn id="4" xr3:uid="{00000000-0010-0000-0300-000004000000}" name="ANO DE CRIAÇÃO" dataDxfId="45"/>
    <tableColumn id="5" xr3:uid="{00000000-0010-0000-0300-000005000000}" name="ATO DE CRIAÇÃO" dataDxfId="44"/>
    <tableColumn id="6" xr3:uid="{00000000-0010-0000-0300-000006000000}" name="MUNICÍPIO" dataDxfId="43"/>
    <tableColumn id="7" xr3:uid="{00000000-0010-0000-0300-000007000000}" name="ÁREA (ha)" dataDxfId="42"/>
    <tableColumn id="8" xr3:uid="{00000000-0010-0000-0300-000008000000}" name="PLANO DE MANEJO" dataDxfId="41"/>
    <tableColumn id="9" xr3:uid="{00000000-0010-0000-0300-000009000000}" name="MAPA" dataDxfId="40"/>
    <tableColumn id="10" xr3:uid="{00000000-0010-0000-0300-00000A000000}" name="Coluna1"/>
    <tableColumn id="11" xr3:uid="{3C0FFA1F-0B74-4142-98BA-F60A97194E09}" name="Observação"/>
    <tableColumn id="12" xr3:uid="{86DC3CF3-F0BA-41A8-BCBF-DDD209C951A2}" name="Encaminhamentos "/>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B000000}" name="Tabela5" displayName="Tabela5" ref="A1:E44" totalsRowShown="0" headerRowDxfId="39" dataDxfId="38">
  <autoFilter ref="A1:E44" xr:uid="{00000000-0009-0000-0100-000005000000}"/>
  <sortState xmlns:xlrd2="http://schemas.microsoft.com/office/spreadsheetml/2017/richdata2" ref="A2:E44">
    <sortCondition ref="A1:A44"/>
  </sortState>
  <tableColumns count="5">
    <tableColumn id="1" xr3:uid="{00000000-0010-0000-0B00-000001000000}" name="ÁREAS PROTEGIDAS NÃO ENQUADRADAS NO SNUC" dataDxfId="37"/>
    <tableColumn id="2" xr3:uid="{00000000-0010-0000-0B00-000002000000}" name="ATO DE CRIAÇÃO" dataDxfId="36"/>
    <tableColumn id="3" xr3:uid="{00000000-0010-0000-0B00-000003000000}" name="ÁREA" dataDxfId="35"/>
    <tableColumn id="4" xr3:uid="{00000000-0010-0000-0B00-000004000000}" name="LOCALIZAÇÃO" dataDxfId="34"/>
    <tableColumn id="5" xr3:uid="{00000000-0010-0000-0B00-000005000000}" name="Coluna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A000000}" name="Tabela9" displayName="Tabela9" ref="A1:F10" totalsRowShown="0" headerRowDxfId="33" dataDxfId="32">
  <autoFilter ref="A1:F10" xr:uid="{00000000-0009-0000-0100-000009000000}"/>
  <tableColumns count="6">
    <tableColumn id="1" xr3:uid="{00000000-0010-0000-0A00-000001000000}" name="N° Processo"/>
    <tableColumn id="2" xr3:uid="{00000000-0010-0000-0A00-000002000000}" name="Comunidade" dataDxfId="31"/>
    <tableColumn id="3" xr3:uid="{00000000-0010-0000-0A00-000003000000}" name="Localização" dataDxfId="30"/>
    <tableColumn id="4" xr3:uid="{00000000-0010-0000-0A00-000004000000}" name="Área" dataDxfId="29"/>
    <tableColumn id="5" xr3:uid="{00000000-0010-0000-0A00-000005000000}" name="Edital RTID no DOU" dataDxfId="28"/>
    <tableColumn id="6" xr3:uid="{00000000-0010-0000-0A00-000006000000}" name="Portaria no DOU" dataDxfId="2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C000000}" name="Tabela1" displayName="Tabela1" ref="A1:AC295" totalsRowShown="0">
  <autoFilter ref="A1:AC295" xr:uid="{00000000-0009-0000-0100-000001000000}"/>
  <tableColumns count="29">
    <tableColumn id="1" xr3:uid="{00000000-0010-0000-0C00-000001000000}" name="MUNICÍPIOS de SC" dataDxfId="26"/>
    <tableColumn id="2" xr3:uid="{00000000-0010-0000-0C00-000002000000}" name="LEG DISPONIVEL NO LEISMUN"/>
    <tableColumn id="14" xr3:uid="{00000000-0010-0000-0C00-00000E000000}" name="Plano diretor"/>
    <tableColumn id="20" xr3:uid="{00000000-0010-0000-0C00-000014000000}" name="Parcelamento"/>
    <tableColumn id="16" xr3:uid="{00000000-0010-0000-0C00-000010000000}" name="Saneamento"/>
    <tableColumn id="17" xr3:uid="{00000000-0010-0000-0C00-000011000000}" name="recursos Hídricos"/>
    <tableColumn id="13" xr3:uid="{00000000-0010-0000-0C00-00000D000000}" name="Política ambiental"/>
    <tableColumn id="29" xr3:uid="{00000000-0010-0000-0C00-00001D000000}" name="Zonas interesse amb"/>
    <tableColumn id="27" xr3:uid="{00000000-0010-0000-0C00-00001B000000}" name="Secretaria MA"/>
    <tableColumn id="18" xr3:uid="{00000000-0010-0000-0C00-000012000000}" name="Conselho MA"/>
    <tableColumn id="19" xr3:uid="{00000000-0010-0000-0C00-000013000000}" name="Fundação MA"/>
    <tableColumn id="21" xr3:uid="{00000000-0010-0000-0C00-000015000000}" name="Fundo MA"/>
    <tableColumn id="23" xr3:uid="{00000000-0010-0000-0C00-000017000000}" name="Direito animal" dataDxfId="25"/>
    <tableColumn id="28" xr3:uid="{00000000-0010-0000-0C00-00001C000000}" name="Patr. natural"/>
    <tableColumn id="3" xr3:uid="{00000000-0010-0000-0C00-000003000000}" name="RPPN"/>
    <tableColumn id="25" xr3:uid="{00000000-0010-0000-0C00-000019000000}" name="PNM"/>
    <tableColumn id="11" xr3:uid="{00000000-0010-0000-0C00-00000B000000}" name="MONA"/>
    <tableColumn id="4" xr3:uid="{00000000-0010-0000-0C00-000004000000}" name="RDesSustentável"/>
    <tableColumn id="5" xr3:uid="{00000000-0010-0000-0C00-000005000000}" name="RESEX"/>
    <tableColumn id="6" xr3:uid="{00000000-0010-0000-0C00-000006000000}" name="REFAU"/>
    <tableColumn id="7" xr3:uid="{00000000-0010-0000-0C00-000007000000}" name="ARelInterEcológico"/>
    <tableColumn id="10" xr3:uid="{00000000-0010-0000-0C00-00000A000000}" name="EE"/>
    <tableColumn id="8" xr3:uid="{00000000-0010-0000-0C00-000008000000}" name="APA"/>
    <tableColumn id="30" xr3:uid="{00000000-0010-0000-0C00-00001E000000}" name="APP"/>
    <tableColumn id="9" xr3:uid="{00000000-0010-0000-0C00-000009000000}" name="REBIO"/>
    <tableColumn id="12" xr3:uid="{00000000-0010-0000-0C00-00000C000000}" name="ReViS"/>
    <tableColumn id="22" xr3:uid="{00000000-0010-0000-0C00-000016000000}" name="Órgão ambiental"/>
    <tableColumn id="24" xr3:uid="{00000000-0010-0000-0C00-000018000000}" name="Telefone"/>
    <tableColumn id="26" xr3:uid="{00000000-0010-0000-0C00-00001A000000}" name="Observaçõ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D000000}" name="Tabela2" displayName="Tabela2" ref="A1:D109" totalsRowShown="0" headerRowDxfId="24">
  <autoFilter ref="A1:D109" xr:uid="{00000000-0009-0000-0100-000002000000}"/>
  <tableColumns count="4">
    <tableColumn id="1" xr3:uid="{00000000-0010-0000-0D00-000001000000}" name="TIPO"/>
    <tableColumn id="2" xr3:uid="{00000000-0010-0000-0D00-000002000000}" name="N°"/>
    <tableColumn id="3" xr3:uid="{00000000-0010-0000-0D00-000003000000}" name="ANO"/>
    <tableColumn id="4" xr3:uid="{00000000-0010-0000-0D00-000004000000}" name="EMENT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5000000}" name="Tabela13" displayName="Tabela13" ref="A87:H115" totalsRowShown="0" headerRowDxfId="23" dataDxfId="22" headerRowBorderDxfId="21">
  <autoFilter ref="A87:H115" xr:uid="{00000000-0009-0000-0100-00000D000000}">
    <filterColumn colId="1">
      <filters>
        <filter val="RPPN Estadual Aroeira Vermelha"/>
        <filter val="RPPN Estadual Cartonagem Batistente"/>
        <filter val="RPPN Estadual Cascata"/>
        <filter val="RPPN Estadual Complexo Serra da Farofa"/>
        <filter val="RPPN Estadual Dona Augusta"/>
        <filter val="RPPN Estadual Frioeste"/>
        <filter val="RPPN Estadual ICAP"/>
        <filter val="RPPN Estadual Itutupã"/>
        <filter val="RPPN Estadual Jardim das Colinas"/>
        <filter val="RPPN Estadual João Heyse Sobrinho"/>
        <filter val="RPPN Estadual Morro do Moreira"/>
        <filter val="RPPN Estadual Natureza Viva BRF"/>
        <filter val="RPPN Estadual Paleotoca Serra Laurentino"/>
        <filter val="RPPN Estadual Parque das Araucárias"/>
        <filter val="RPPN Estadual Parque das Borboletas"/>
        <filter val="RPPN Estadual Pico da Bandeira"/>
        <filter val="RPPN Estadual Professora Yara C. Nicoletti"/>
        <filter val="RPPN Estadual Reserva Ambiental S. Santos"/>
        <filter val="RPPN Estadual Rio Bonito"/>
        <filter val="RPPN Estadual Rio dos Pardos"/>
        <filter val="RPPN Estadual Sonho Azul"/>
        <filter val="RPPN Estadual Valdir Baldin"/>
      </filters>
    </filterColumn>
  </autoFilter>
  <sortState xmlns:xlrd2="http://schemas.microsoft.com/office/spreadsheetml/2017/richdata2" ref="A88:F112">
    <sortCondition ref="E87:E112"/>
  </sortState>
  <tableColumns count="8">
    <tableColumn id="1" xr3:uid="{00000000-0010-0000-0500-000001000000}" name="ENTE FEDERATIVO" dataDxfId="20"/>
    <tableColumn id="2" xr3:uid="{00000000-0010-0000-0500-000002000000}" name="UNIDADE" dataDxfId="19"/>
    <tableColumn id="3" xr3:uid="{00000000-0010-0000-0500-000003000000}" name="ANO" dataDxfId="18"/>
    <tableColumn id="4" xr3:uid="{00000000-0010-0000-0500-000004000000}" name="ATO LEGISLATIVO" dataDxfId="17"/>
    <tableColumn id="5" xr3:uid="{00000000-0010-0000-0500-000005000000}" name="MUNICÍPIO" dataDxfId="16"/>
    <tableColumn id="6" xr3:uid="{00000000-0010-0000-0500-000006000000}" name="ÁREA" dataDxfId="15"/>
    <tableColumn id="7" xr3:uid="{00000000-0010-0000-0500-000007000000}" name="PLANO MANEJO" dataDxfId="14"/>
    <tableColumn id="8" xr3:uid="{00000000-0010-0000-0500-000008000000}" name="MAPA" dataDxfId="13"/>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6000000}" name="Tabela14" displayName="Tabela14" ref="A1:F83" totalsRowShown="0" headerRowDxfId="12" dataDxfId="11" headerRowBorderDxfId="10">
  <autoFilter ref="A1:F83" xr:uid="{00000000-0009-0000-0100-00000E000000}">
    <filterColumn colId="1">
      <filters>
        <filter val="RPPN Amplus Lucidus"/>
        <filter val="RPPN Brava Beach Internacional"/>
        <filter val="RPPN Cachoeira do Imbuia"/>
        <filter val="RPPN Canto da Araponga"/>
        <filter val="RPPN Chácara São Miguel"/>
        <filter val="RPPN Fazenda Butia"/>
        <filter val="RPPN Jardim dos Beija-Flores"/>
        <filter val="RPPN Jorge Luiz Orsi"/>
        <filter val="RPPN Papagaio de Altitude"/>
        <filter val="RPPN Parque Ecológico dos Butiás"/>
        <filter val="RPPN Pinheirinho 23"/>
        <filter val="RPPN Prima Luna I"/>
        <filter val="RPPN Rancho de Luar"/>
        <filter val="RPPN Raso do Mandi II"/>
        <filter val="RPPN Reserva dos Bugres"/>
        <filter val="RPPN Reserva Heinz Bahr"/>
        <filter val="RPPN Reserva Rio das Furnas II"/>
        <filter val="RPPN Reserva Volta Velha"/>
        <filter val="RPPN Rio Vermelho"/>
        <filter val="RPPN Taipa Rio do Couro II"/>
      </filters>
    </filterColumn>
    <filterColumn colId="4">
      <filters>
        <filter val="Brusque"/>
      </filters>
    </filterColumn>
  </autoFilter>
  <sortState xmlns:xlrd2="http://schemas.microsoft.com/office/spreadsheetml/2017/richdata2" ref="A2:F30">
    <sortCondition ref="E1:E30"/>
  </sortState>
  <tableColumns count="6">
    <tableColumn id="1" xr3:uid="{00000000-0010-0000-0600-000001000000}" name="ENTE FEDERATIVO" dataDxfId="9"/>
    <tableColumn id="2" xr3:uid="{00000000-0010-0000-0600-000002000000}" name="UNIDADE" dataDxfId="8"/>
    <tableColumn id="3" xr3:uid="{00000000-0010-0000-0600-000003000000}" name="ANO" dataDxfId="7"/>
    <tableColumn id="4" xr3:uid="{00000000-0010-0000-0600-000004000000}" name="ATO LEGISLATIVO" dataDxfId="6"/>
    <tableColumn id="5" xr3:uid="{00000000-0010-0000-0600-000005000000}" name="MUNICÍPIO" dataDxfId="5"/>
    <tableColumn id="6" xr3:uid="{00000000-0010-0000-0600-000006000000}" name="ÁREA" dataDxfId="4"/>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DAEDE7F-217E-4053-85C3-F1A31C861BB1}" name="Tabela15" displayName="Tabela15" ref="A119:F142" totalsRowShown="0" headerRowDxfId="3" headerRowBorderDxfId="2">
  <autoFilter ref="A119:F142" xr:uid="{0DAEDE7F-217E-4053-85C3-F1A31C861BB1}"/>
  <tableColumns count="6">
    <tableColumn id="1" xr3:uid="{34652BD3-1721-46B6-8AC0-C0DA667A2031}" name="ENTE INDETERMINADO"/>
    <tableColumn id="2" xr3:uid="{F38CABD7-8A47-4B07-B916-CA1BD06F0F3F}" name="UNIDADE" dataDxfId="1"/>
    <tableColumn id="3" xr3:uid="{6F96D219-04D4-4819-A4EA-2F41F8B9089B}" name="ANO"/>
    <tableColumn id="4" xr3:uid="{A18E754C-78CD-4E0C-AE6C-0C17FA176C17}" name="ATO LEGISLATIVO"/>
    <tableColumn id="5" xr3:uid="{B0F83C3B-A85E-468F-87D1-C8F6F63A3188}" name="MUNICÍPIO" dataDxfId="0"/>
    <tableColumn id="6" xr3:uid="{37B34CD4-C733-4697-8CAD-6DB2F5B57AB9}" name="ÁRE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statkraft.com.br/globalassets/0/.com.br/8-statkraft-brazil/relatorios-meio-ambiente/pch-canoas---eia-e-rima/estudo-de-impacto-ambiental/anexos-eia/anexo-15---consultas-a-intervenientes/statkraft---pch-canoas---resposta-ima-ucs.pdf" TargetMode="External"/><Relationship Id="rId117" Type="http://schemas.openxmlformats.org/officeDocument/2006/relationships/hyperlink" Target="https://www.ima.sc.gov.br/index.php/biodiversidade/unidades-de-conservacao/parque-estadual-da-serra-furada/71-biodiversidade/biodiversidade/rppn" TargetMode="External"/><Relationship Id="rId21"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42" Type="http://schemas.openxmlformats.org/officeDocument/2006/relationships/hyperlink" Target="https://leismunicipais.com.br/a/sc/f/florianopolis/lei-ordinaria/2016/1010/10100/lei-ordinaria-n-10100-2016-altera-a-lei-n-3455-de-1990-definindo-limites-e-categoria-de-manejo-de-unidade-de-conservacao-municipal-revoga-decreto-n-698-de-1994-a-lei-cmf-n-195-de-1997-a-lei-n-6237-de-2013-a-lei-n-6733-de-2005-a-lei-n-9698-de-2014-e-da-outras-providencias" TargetMode="External"/><Relationship Id="rId47" Type="http://schemas.openxmlformats.org/officeDocument/2006/relationships/hyperlink" Target="https://leismunicipais.com.br/a/sc/v/vidal-ramos/lei-ordinaria/2010/175/1753/lei-ordinaria-n-1753-2010-cria-o-parque-natural-municipal-chapeu-das-aguas-no-municipio-de-vidal-ramos-estado-de-santa-catarina-e-da-outras-providencias" TargetMode="External"/><Relationship Id="rId63" Type="http://schemas.openxmlformats.org/officeDocument/2006/relationships/hyperlink" Target="https://leismunicipais.com.br/a1/sc/c/criciuma/lei-ordinaria/2008/520/5207/lei-ordinaria-n-5207-2008-cria-o-parque-municipal-do-morro-do-ceu-da-outras-providencias" TargetMode="External"/><Relationship Id="rId68" Type="http://schemas.openxmlformats.org/officeDocument/2006/relationships/hyperlink" Target="https://leismunicipais.com.br/a/sc/n/nova-veneza/lei-ordinaria/2020/282/2818/lei-ordinaria-n-2818-2020-dispoe-sobre-a-criacao-do-parque-natural-municipal-xokleng-no-municipio-de-nova-veneza-e-da-outras-providencias" TargetMode="External"/><Relationship Id="rId84" Type="http://schemas.openxmlformats.org/officeDocument/2006/relationships/hyperlink" Target="https://leisestaduais.com.br/sc/decreto-n-1871-2004-santa-catarina-cria-o-parque-" TargetMode="External"/><Relationship Id="rId89" Type="http://schemas.openxmlformats.org/officeDocument/2006/relationships/hyperlink" Target="https://www.ima.sc.gov.br/index.php/biodiversidade/unidades-de-conservacao/parque-estadual-da-serra-furada/71-biodiversidade/biodiversidade/rppn" TargetMode="External"/><Relationship Id="rId112" Type="http://schemas.openxmlformats.org/officeDocument/2006/relationships/hyperlink" Target="https://www.ima.sc.gov.br/index.php/biodiversidade/unidades-de-conservacao/parque-estadual-da-serra-furada/71-biodiversidade/biodiversidade/rppn" TargetMode="External"/><Relationship Id="rId16" Type="http://schemas.openxmlformats.org/officeDocument/2006/relationships/hyperlink" Target="https://sistemas.icmbio.gov.br/site_media/portarias/2018/02/26/rppn_papagaios.pdf" TargetMode="External"/><Relationship Id="rId107" Type="http://schemas.openxmlformats.org/officeDocument/2006/relationships/hyperlink" Target="https://www.ima.sc.gov.br/index.php/biodiversidade/unidades-de-conservacao/parque-estadual-da-serra-furada/71-biodiversidade/biodiversidade/rppn" TargetMode="External"/><Relationship Id="rId11" Type="http://schemas.openxmlformats.org/officeDocument/2006/relationships/hyperlink" Target="https://sistemas.icmbio.gov.br/site_media/portarias/2012/09/14/RPPN_Odir_Zanelatto.pdf" TargetMode="External"/><Relationship Id="rId32" Type="http://schemas.openxmlformats.org/officeDocument/2006/relationships/hyperlink" Target="https://leismunicipais.com.br/a/sc/r/rio-negrinho/lei-ordinaria/1998/110/1095/lei-ordinaria-n-1095-1998-cria-a-apa-area-de-protecao-ambiental-da-represa-alto-rio-preto-no-municipio-de-rio-negrinho-e-da-outras-providencias" TargetMode="External"/><Relationship Id="rId37" Type="http://schemas.openxmlformats.org/officeDocument/2006/relationships/hyperlink" Target="https://leismunicipais.com.br/a/sc/i/itapoa/decreto/2022/555/5550/decreto-n-5550-2022-cria-a-area-de-protecao-ambiental-apa-de-itapoa?q=%C3%81REA+DE+PROTE%C3%87%C3%83O+AMBIENTAL" TargetMode="External"/><Relationship Id="rId53" Type="http://schemas.openxmlformats.org/officeDocument/2006/relationships/hyperlink" Target="https://leismunicipais.com.br/a/sc/n/navegantes/lei-complementar/2011/12/117/lei-complementar-n-117-2011-cria-o-parque-natural-municipal-de-navegantes-e-da-outras-providencias" TargetMode="External"/><Relationship Id="rId58" Type="http://schemas.openxmlformats.org/officeDocument/2006/relationships/hyperlink" Target="https://leismunicipais.com.br/a/sc/t/timbo/lei-complementar/2011/41/402/lei-complementar-n-402-2011-cria-o-parque-natural-municipal-freymund-germer-morro-azul" TargetMode="External"/><Relationship Id="rId74" Type="http://schemas.openxmlformats.org/officeDocument/2006/relationships/hyperlink" Target="https://leismunicipais.com.br/a/sc/j/joinville/decreto/1989/618/6182/decreto-n-6182-1989-cria-o-parque-municipal-da-ilha-do-morro-do-amaral-e-da-outras-providencias.html" TargetMode="External"/><Relationship Id="rId79" Type="http://schemas.openxmlformats.org/officeDocument/2006/relationships/hyperlink" Target="https://leisestaduais.com.br/sc/decreto-n-3517-2005-santa-catarina-cria-o-parque-estadual-acarai-e-da-outras-providencias" TargetMode="External"/><Relationship Id="rId102" Type="http://schemas.openxmlformats.org/officeDocument/2006/relationships/hyperlink" Target="https://www.ima.sc.gov.br/index.php/biodiversidade/unidades-de-conservacao/parque-estadual-da-serra-furada/71-biodiversidade/biodiversidade/rppn" TargetMode="External"/><Relationship Id="rId123" Type="http://schemas.openxmlformats.org/officeDocument/2006/relationships/hyperlink" Target="https://www.ima.sc.gov.br/index.php/downloads/ecossistemas/4346-portaria-rppne-unidavi" TargetMode="External"/><Relationship Id="rId5" Type="http://schemas.openxmlformats.org/officeDocument/2006/relationships/hyperlink" Target="https://sistemas.icmbio.gov.br/site_media/portarias/2010/03/02/PortRPPNTaipadoRioItaja%C3%AD.pdf" TargetMode="External"/><Relationship Id="rId90" Type="http://schemas.openxmlformats.org/officeDocument/2006/relationships/hyperlink" Target="https://www.ima.sc.gov.br/index.php/biodiversidade/unidades-de-conservacao/parque-estadual-da-serra-furada/71-biodiversidade/biodiversidade/rppn" TargetMode="External"/><Relationship Id="rId95" Type="http://schemas.openxmlformats.org/officeDocument/2006/relationships/hyperlink" Target="https://www.ima.sc.gov.br/index.php/biodiversidade/unidades-de-conservacao/parque-estadual-da-serra-furada/71-biodiversidade/biodiversidade/rppn" TargetMode="External"/><Relationship Id="rId22"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27" Type="http://schemas.openxmlformats.org/officeDocument/2006/relationships/hyperlink" Target="https://omunicipio.com.br/trilhas-dentro-da-area-do-parque-municipal-de-guabiruba-comecam-ser-sinalizadas/" TargetMode="External"/><Relationship Id="rId43" Type="http://schemas.openxmlformats.org/officeDocument/2006/relationships/hyperlink" Target="https://leismunicipais.com.br/a/sc/f/florianopolis/lei-ordinaria/2019/1053/10530/lei-ordinaria-n-10530-2019-dispoe-sobre-a-criacao-da-unidade-de-conservacao-monumento-natural-municipal-da-lagoa-do-peri-mona-da-lagoa-do-peri" TargetMode="External"/><Relationship Id="rId48" Type="http://schemas.openxmlformats.org/officeDocument/2006/relationships/hyperlink" Target="https://leismunicipais.com.br/a2/sc/j/joinville/decreto/2004/1173/11734/decreto-n-11734-2004-cria-o-parque-natural-municipal-da-caieira" TargetMode="External"/><Relationship Id="rId64" Type="http://schemas.openxmlformats.org/officeDocument/2006/relationships/hyperlink" Target="https://leismunicipais.com.br/a/sc/j/jaragua-do-sul/lei-ordinaria/2015/718/7180/lei-ordinaria-n-7180-2015-cria-o-parque-natural-municipal-morro-dos-stinghen-no-municipio-de-jaragua-do-sul-estado-de-santa-catarina-e-da-outras-providencias" TargetMode="External"/><Relationship Id="rId69" Type="http://schemas.openxmlformats.org/officeDocument/2006/relationships/hyperlink" Target="https://leismunicipais.com.br/a/sc/s/sao-francisco-do-sul/decreto/2022/385/3841/decreto-n-3841-2022-dispoe-acerca-da-criacao-da-unidade-de-conservacao-de-protecao-integral-revis-nascentes-do-sai" TargetMode="External"/><Relationship Id="rId113" Type="http://schemas.openxmlformats.org/officeDocument/2006/relationships/hyperlink" Target="https://www.ima.sc.gov.br/index.php/biodiversidade/unidades-de-conservacao/parque-estadual-da-serra-furada/71-biodiversidade/biodiversidade/rppn" TargetMode="External"/><Relationship Id="rId118" Type="http://schemas.openxmlformats.org/officeDocument/2006/relationships/hyperlink" Target="https://sistemas.icmbio.gov.br/site_media/portarias/2010/09/10/SC_RPPN_Caraguata_Retifica%C3%A7ao.pdf" TargetMode="External"/><Relationship Id="rId80" Type="http://schemas.openxmlformats.org/officeDocument/2006/relationships/hyperlink" Target="http://server03.pge.sc.gov.br/LegislacaoEstadual/1980/011233-005-0-1980-000.htm" TargetMode="External"/><Relationship Id="rId85" Type="http://schemas.openxmlformats.org/officeDocument/2006/relationships/hyperlink" Target="https://www.ima.sc.gov.br/index.php/downloads/ecossistemas/unidades-de-conservacao/reserva-biologica-estadual-do-aguai/2459-decreto-19635-criacao-da-reserva-biologica-estadual-do-aguai" TargetMode="External"/><Relationship Id="rId12" Type="http://schemas.openxmlformats.org/officeDocument/2006/relationships/hyperlink" Target="https://sistemas.icmbio.gov.br/site_media/portarias/2018/04/12/PORTARIA_RPPN_Brava.pdf" TargetMode="External"/><Relationship Id="rId17" Type="http://schemas.openxmlformats.org/officeDocument/2006/relationships/hyperlink" Target="https://www.gov.br/icmbio/pt-br/assuntos/biodiversidade/unidade-de-conservacao/unidades-de-biomas/mata-atlantica/lista-de-ucs/flona-de-cacador/arquivos/PLANO_GESTAO_FLONA_1989_compressed_compressed_compressed.pdf" TargetMode="External"/><Relationship Id="rId33" Type="http://schemas.openxmlformats.org/officeDocument/2006/relationships/hyperlink" Target="https://leismunicipais.com.br/a/sc/c/campo-alegre/lei-ordinaria/1998/235/2347/lei-ordinaria-n-2347-1998-cria-area-de-protecao-ambiental-apa" TargetMode="External"/><Relationship Id="rId38" Type="http://schemas.openxmlformats.org/officeDocument/2006/relationships/hyperlink" Target="https://leismunicipais.com.br/a/sc/j/joinville/decreto/1997/805/8055/decreto-n-8055-%0D1997-dispoe-sobre-a-criacao-da-area-de-protecao-ambiental-serra-dona-francisca-nomunicipio-de-joinville-e-da-outras-providencias" TargetMode="External"/><Relationship Id="rId59" Type="http://schemas.openxmlformats.org/officeDocument/2006/relationships/hyperlink" Target="https://leismunicipais.com.br/a/sc/i/itajai/decreto/2006/796/7954/decreto-n-7954-2006-cria-unidade-de-conservacao-de-protecao-integral" TargetMode="External"/><Relationship Id="rId103" Type="http://schemas.openxmlformats.org/officeDocument/2006/relationships/hyperlink" Target="https://www.ima.sc.gov.br/index.php/biodiversidade/unidades-de-conservacao/parque-estadual-da-serra-furada/71-biodiversidade/biodiversidade/rppn" TargetMode="External"/><Relationship Id="rId108" Type="http://schemas.openxmlformats.org/officeDocument/2006/relationships/hyperlink" Target="https://www.ima.sc.gov.br/index.php/biodiversidade/unidades-de-conservacao/parque-estadual-da-serra-furada/71-biodiversidade/biodiversidade/rppn" TargetMode="External"/><Relationship Id="rId124" Type="http://schemas.openxmlformats.org/officeDocument/2006/relationships/hyperlink" Target="https://www.ima.sc.gov.br/index.php/downloads/ecossistemas/4320-portaria-de-criacao-da-rppne-sitio-amor-verdadeiro" TargetMode="External"/><Relationship Id="rId54" Type="http://schemas.openxmlformats.org/officeDocument/2006/relationships/hyperlink" Target="https://leismunicipais.com.br/a/sc/i/itajai/decreto/2007/811/8107/decreto-n-8107-2007-dispoe-sobre-a-criacao-e-instalacao-do-parque-natural-municipal-do-atalaia" TargetMode="External"/><Relationship Id="rId70" Type="http://schemas.openxmlformats.org/officeDocument/2006/relationships/hyperlink" Target="https://leismunicipais.com.br/a/sc/i/itapema/decreto/2012/9/87/decreto-n-87-2012-cria-o-refugio-de-vida-silvestre-do-municipio-de-itapema-e-da-outras-providencias" TargetMode="External"/><Relationship Id="rId75" Type="http://schemas.openxmlformats.org/officeDocument/2006/relationships/hyperlink" Target="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TargetMode="External"/><Relationship Id="rId91" Type="http://schemas.openxmlformats.org/officeDocument/2006/relationships/hyperlink" Target="https://www.ima.sc.gov.br/index.php/biodiversidade/unidades-de-conservacao/parque-estadual-da-serra-furada/71-biodiversidade/biodiversidade/rppn" TargetMode="External"/><Relationship Id="rId96" Type="http://schemas.openxmlformats.org/officeDocument/2006/relationships/hyperlink" Target="https://www.ima.sc.gov.br/index.php/biodiversidade/unidades-de-conservacao/parque-estadual-da-serra-furada/71-biodiversidade/biodiversidade/rppn" TargetMode="External"/><Relationship Id="rId1" Type="http://schemas.openxmlformats.org/officeDocument/2006/relationships/hyperlink" Target="https://sistemas.icmbio.gov.br/site_media/portarias/2010/03/02/PortRPPNFazendaSantaTerezinha_.pdf" TargetMode="External"/><Relationship Id="rId6" Type="http://schemas.openxmlformats.org/officeDocument/2006/relationships/hyperlink" Target="https://sistemas.icmbio.gov.br/site_media/portarias/2010/10/08/PortRPPNCorredeirasdoRioItaja%C3%ADContinua%C3%A7%C3%A3o.pdf" TargetMode="External"/><Relationship Id="rId23"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28" Type="http://schemas.openxmlformats.org/officeDocument/2006/relationships/hyperlink" Target="https://leismunicipais.com.br/a/sc/i/ilhota/decreto/2015/6/51/decreto-n-51-2015-cria-o-parque-natural-municipal-morro-do-bau-pnmmb-no-municipio-de-ilhota-sc-e-da-outras-providencias" TargetMode="External"/><Relationship Id="rId49" Type="http://schemas.openxmlformats.org/officeDocument/2006/relationships/hyperlink" Target="https://leismunicipais.com.br/a/sc/p/porto-belo/decreto/2015/138/1380/decreto-n-1380-2015-dispoe-sobre-a-criacao-do-parque-natural-municipal-da-lagoa-do-pereque-e-da-outras-providencias" TargetMode="External"/><Relationship Id="rId114" Type="http://schemas.openxmlformats.org/officeDocument/2006/relationships/hyperlink" Target="https://www.ima.sc.gov.br/index.php/biodiversidade/unidades-de-conservacao/parque-estadual-da-serra-furada/71-biodiversidade/biodiversidade/rppn" TargetMode="External"/><Relationship Id="rId119" Type="http://schemas.openxmlformats.org/officeDocument/2006/relationships/hyperlink" Target="https://www.diariomunicipal.sc.gov.br/atos/7252101" TargetMode="External"/><Relationship Id="rId44" Type="http://schemas.openxmlformats.org/officeDocument/2006/relationships/hyperlink" Target="https://leismunicipais.com.br/a/sc/s/sao-jose-do-cedro/lei-ordinaria/2018/472/4718/lei-ordinaria-n-4718-2018-cria-o-parque-natural-municipal-armando-rosa-no-municipio-de-sao-jose-do-cedro-estado-de-santa-catarina-e-da-outras-providencias" TargetMode="External"/><Relationship Id="rId60" Type="http://schemas.openxmlformats.org/officeDocument/2006/relationships/hyperlink" Target="https://leismunicipais.com.br/a/sc/l/lages/lei-complementar/1997/6/59/lei-complementar-n-59-1997-cria-o-parque-ecologico-municipal-joao-jose-theodoro-da-costa-neto-e-da-outras-providencias" TargetMode="External"/><Relationship Id="rId65" Type="http://schemas.openxmlformats.org/officeDocument/2006/relationships/hyperlink" Target="https://leismunicipais.com.br/a/sc/b/balneario-camboriu/decreto/1993/236/2351/decreto-n-2351-1993-dispoe-sobre-a-criacao-do-parque-ecologico-municipal-rio-camboriu?q=2351" TargetMode="External"/><Relationship Id="rId81" Type="http://schemas.openxmlformats.org/officeDocument/2006/relationships/hyperlink" Target="https://leisestaduais.com.br/sc/decreto-n-293-2003-santa-catarina-cria-o-parque-estadual-das-araucarias-e-da-outras-providencias" TargetMode="External"/><Relationship Id="rId86" Type="http://schemas.openxmlformats.org/officeDocument/2006/relationships/hyperlink" Target="https://www.icmbio.gov.br/cepsul/images/stories/legislacao/Decretos/1977/dec_2221_1977_criareservabiologicaestadualsassafras_sc.pdf" TargetMode="External"/><Relationship Id="rId13" Type="http://schemas.openxmlformats.org/officeDocument/2006/relationships/hyperlink" Target="https://sistemas.icmbio.gov.br/site_media/portarias/2018/02/02/Portaria_Volta_Velha_02.pdf" TargetMode="External"/><Relationship Id="rId18" Type="http://schemas.openxmlformats.org/officeDocument/2006/relationships/hyperlink" Target="https://www.turismotimbo.com.br/o-que-fazer/parques-e-pracas" TargetMode="External"/><Relationship Id="rId39" Type="http://schemas.openxmlformats.org/officeDocument/2006/relationships/hyperlink" Target="https://leismunicipais.com.br/a/sc/j/joinville/decreto/2003/1101/11005/decreto-n-11005-2003-cria-a-area-de-relevante-interesse-ecologico-do-morro-do-boa-vista" TargetMode="External"/><Relationship Id="rId109" Type="http://schemas.openxmlformats.org/officeDocument/2006/relationships/hyperlink" Target="https://www.ima.sc.gov.br/index.php/biodiversidade/unidades-de-conservacao/parque-estadual-da-serra-furada/71-biodiversidade/biodiversidade/rppn" TargetMode="External"/><Relationship Id="rId34" Type="http://schemas.openxmlformats.org/officeDocument/2006/relationships/hyperlink" Target="https://leismunicipais.com.br/a/sc/i/itajai/lei-ordinaria/2020/714/7133/lei-ordinaria-n-7133-2020-cria-area-de-protecao-ambiental-apa-e-da-outras-providencias" TargetMode="External"/><Relationship Id="rId50" Type="http://schemas.openxmlformats.org/officeDocument/2006/relationships/hyperlink" Target="https://leismunicipais.com.br/a/sc/f/florianopolis/lei-ordinaria/2018/1039/10387/lei-ordinaria-n-10387-2018-dispoe-sobre-a-criacao-do-parque-natural-municipal-da-lagoinha-do-leste-nos-termos-do-art-55-da-lei-federal-n-9985-de-2000-que-instituiu-o-sistema-nacional-de-unidades-de-conservacao-da-natureza-snuc-e-da-outras-providencias" TargetMode="External"/><Relationship Id="rId55" Type="http://schemas.openxmlformats.org/officeDocument/2006/relationships/hyperlink" Target="https://leismunicipais.com.br/a/sc/f/florianopolis/lei-ordinaria/2018/1046/10459/lei-ordinaria-n-10459-2018-dispoe-sobre-a-criacao-do-parque-natural-municipal-do-macico-da-costeira" TargetMode="External"/><Relationship Id="rId76" Type="http://schemas.openxmlformats.org/officeDocument/2006/relationships/hyperlink" Target="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TargetMode="External"/><Relationship Id="rId97" Type="http://schemas.openxmlformats.org/officeDocument/2006/relationships/hyperlink" Target="https://www.ima.sc.gov.br/index.php/biodiversidade/unidades-de-conservacao/parque-estadual-da-serra-furada/71-biodiversidade/biodiversidade/rppn" TargetMode="External"/><Relationship Id="rId104" Type="http://schemas.openxmlformats.org/officeDocument/2006/relationships/hyperlink" Target="https://www.ima.sc.gov.br/index.php/biodiversidade/unidades-de-conservacao/parque-estadual-da-serra-furada/71-biodiversidade/biodiversidade/rppn" TargetMode="External"/><Relationship Id="rId120" Type="http://schemas.openxmlformats.org/officeDocument/2006/relationships/hyperlink" Target="https://www.ima.sc.gov.br/index.php/downloads/ecossistemas/4347-portaria-rppne-de-paulo-brnardo-schmitt-amelia-a-schimitt" TargetMode="External"/><Relationship Id="rId125" Type="http://schemas.openxmlformats.org/officeDocument/2006/relationships/hyperlink" Target="https://www.ima.sc.gov.br/index.php/downloads/ecossistemas/4260-portaria-reconhecimento-rppne-sitio-dunka-rosa-doesc" TargetMode="External"/><Relationship Id="rId7" Type="http://schemas.openxmlformats.org/officeDocument/2006/relationships/hyperlink" Target="https://sistemas.icmbio.gov.br/site_media/portarias/2010/08/20/Port.RPPN_Taipa_Rio_do_Couro.pdf" TargetMode="External"/><Relationship Id="rId71" Type="http://schemas.openxmlformats.org/officeDocument/2006/relationships/hyperlink" Target="https://leismunicipais.com.br/a/sc/f/florianopolis/decreto/2021/2333/23323/decreto-n-23323-2021-cria-a-unidade-de-conservacao-refugio-de-vida-silvestre-municipal-morro-do-lampiao-e-da-outras-providencias" TargetMode="External"/><Relationship Id="rId92" Type="http://schemas.openxmlformats.org/officeDocument/2006/relationships/hyperlink" Target="https://www.ima.sc.gov.br/index.php/biodiversidade/unidades-de-conservacao/parque-estadual-da-serra-furada/71-biodiversidade/biodiversidade/rppn" TargetMode="External"/><Relationship Id="rId2" Type="http://schemas.openxmlformats.org/officeDocument/2006/relationships/hyperlink" Target="https://sistemas.icmbio.gov.br/site_media/portarias/2010/09/09/SC_RPPN_Caraguat%C3%A1_aaah.pdf" TargetMode="External"/><Relationship Id="rId29" Type="http://schemas.openxmlformats.org/officeDocument/2006/relationships/hyperlink" Target="https://s3cache.dom.sc.gov.br/atos/2024/08/1723497564_plano_de_manejo_pnm_sao_miguel_encarte_1_versao_digital.pdf" TargetMode="External"/><Relationship Id="rId24"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40" Type="http://schemas.openxmlformats.org/officeDocument/2006/relationships/hyperlink" Target="https://leismunicipais.com.br/a/sc/j/joinville/decreto/2012/1967/19665/decreto-n-19665-2012-cria-a-area-de-relevante-interesse-ecologico-do-morro-do-iririu" TargetMode="External"/><Relationship Id="rId45" Type="http://schemas.openxmlformats.org/officeDocument/2006/relationships/hyperlink" Target="https://leismunicipais.com.br/a/sc/b/barra-velha/decreto/2025/217/2163/decreto-n-2163-2025-reedita-o-decreto-n-428-de-19-de-junho-de-2007-que-criou-o-parque-natural-municipal-caminho-do-peabiru-e-da-outras-providencias" TargetMode="External"/><Relationship Id="rId66" Type="http://schemas.openxmlformats.org/officeDocument/2006/relationships/hyperlink" Target="https://leismunicipais.com.br/a/sc/b/balneario-picarras/lei-ordinaria/2023/94/941/lei-ordinaria-n-941-2023-altera-os-limites-do-parque-natural-municipal-rio-picarras-localizado-no-municipio-de-balneario-picarras-sc-e-criado-pelo-decreto-n-160-de-11-de-dezembro-de-2020" TargetMode="External"/><Relationship Id="rId87" Type="http://schemas.openxmlformats.org/officeDocument/2006/relationships/hyperlink" Target="https://www.ima.sc.gov.br/index.php/biodiversidade/unidades-de-conservacao/parque-estadual-da-serra-furada/71-biodiversidade/biodiversidade/rppn" TargetMode="External"/><Relationship Id="rId110" Type="http://schemas.openxmlformats.org/officeDocument/2006/relationships/hyperlink" Target="https://www.ima.sc.gov.br/index.php/biodiversidade/unidades-de-conservacao/parque-estadual-da-serra-furada/71-biodiversidade/biodiversidade/rppn" TargetMode="External"/><Relationship Id="rId115" Type="http://schemas.openxmlformats.org/officeDocument/2006/relationships/hyperlink" Target="https://www.ima.sc.gov.br/index.php/biodiversidade/unidades-de-conservacao/parque-estadual-da-serra-furada/71-biodiversidade/biodiversidade/rppn" TargetMode="External"/><Relationship Id="rId61" Type="http://schemas.openxmlformats.org/officeDocument/2006/relationships/hyperlink" Target="https://leismunicipais.com.br/a/sc/f/florianopolis/lei-ordinaria/2016/995/9948/lei-ordinaria-n-9948-2016-dispoe-sobre-a-criacao-da-unidade-de-conservacao-parque-natural-municipal-lagoa-do-jacare-das-dunas-do-santinho" TargetMode="External"/><Relationship Id="rId82" Type="http://schemas.openxmlformats.org/officeDocument/2006/relationships/hyperlink" Target="http://server03.pge.sc.gov.br/legislacaoestadual/2007/000308-005-0-2007-003.htm" TargetMode="External"/><Relationship Id="rId19"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14" Type="http://schemas.openxmlformats.org/officeDocument/2006/relationships/hyperlink" Target="https://sistemas.icmbio.gov.br/site_media/portarias/2010/03/10/PortRPPNCaetezal.pdf" TargetMode="External"/><Relationship Id="rId30" Type="http://schemas.openxmlformats.org/officeDocument/2006/relationships/hyperlink" Target="https://leismunicipais.com.br/a/sc/s/schroeder/decreto/2019/482/4811/decreto-n-4811-2019-cria-a-area-de-protecao-ambiental-apa-arroio-macaco" TargetMode="External"/><Relationship Id="rId35" Type="http://schemas.openxmlformats.org/officeDocument/2006/relationships/hyperlink" Target="https://leismunicipais.com.br/a/sc/r/rio-negrinho/lei-ordinaria/1998/110/1093/lei-ordinaria-n-1093-1998-cria-a-apa-area-de-protecao-ambiental-do-rio-dos-bugres-e-da-outras-providencias" TargetMode="External"/><Relationship Id="rId56" Type="http://schemas.openxmlformats.org/officeDocument/2006/relationships/hyperlink" Target="https://leismunicipais.com.br/a/sc/f/florianopolis/decreto/2022/2418/24171/decreto-n-24171-2022-dispoe-sobre-a-adequacao-do-parque-municipal-do-manguezal-do-itacorubi-criado-pelo-decreto-n-1529-de-2002-nos-termos-do-art-55-da-lei-federal-n-9985-de-2000-que-instituiu-o-sistema-nacional-de-unidades-de-conservacao-da-natureza-snuc-e-da-outras-providencias" TargetMode="External"/><Relationship Id="rId77" Type="http://schemas.openxmlformats.org/officeDocument/2006/relationships/hyperlink" Target="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TargetMode="External"/><Relationship Id="rId100" Type="http://schemas.openxmlformats.org/officeDocument/2006/relationships/hyperlink" Target="https://www.ima.sc.gov.br/index.php/biodiversidade/unidades-de-conservacao/parque-estadual-da-serra-furada/71-biodiversidade/biodiversidade/rppn" TargetMode="External"/><Relationship Id="rId105" Type="http://schemas.openxmlformats.org/officeDocument/2006/relationships/hyperlink" Target="https://www.ima.sc.gov.br/index.php/biodiversidade/unidades-de-conservacao/parque-estadual-da-serra-furada/71-biodiversidade/biodiversidade/rppn" TargetMode="External"/><Relationship Id="rId126" Type="http://schemas.openxmlformats.org/officeDocument/2006/relationships/printerSettings" Target="../printerSettings/printerSettings1.bin"/><Relationship Id="rId8" Type="http://schemas.openxmlformats.org/officeDocument/2006/relationships/hyperlink" Target="https://sistemas.icmbio.gov.br/site_media/portarias/2012/06/28/RPPN_Raso_do_Mandi.pdf" TargetMode="External"/><Relationship Id="rId51" Type="http://schemas.openxmlformats.org/officeDocument/2006/relationships/hyperlink" Target="https://www.cvbombinhas.sc.gov.br/proposicoes/Leis-ordinarias/1994/3/0/8450" TargetMode="External"/><Relationship Id="rId72" Type="http://schemas.openxmlformats.org/officeDocument/2006/relationships/hyperlink" Target="https://leismunicipais.com.br/a/sc/f/florianopolis/decreto/2021/2333/23324/decreto-n-23324-2021-cria-a-unidade-de-conservacao-refugio-de-vida-silvestre-municipal-meiembipe-e-da-outras-providencias" TargetMode="External"/><Relationship Id="rId93" Type="http://schemas.openxmlformats.org/officeDocument/2006/relationships/hyperlink" Target="https://www.ima.sc.gov.br/index.php/biodiversidade/unidades-de-conservacao/parque-estadual-da-serra-furada/71-biodiversidade/biodiversidade/rppn" TargetMode="External"/><Relationship Id="rId98" Type="http://schemas.openxmlformats.org/officeDocument/2006/relationships/hyperlink" Target="https://www.ima.sc.gov.br/index.php/biodiversidade/unidades-de-conservacao/parque-estadual-da-serra-furada/71-biodiversidade/biodiversidade/rppn" TargetMode="External"/><Relationship Id="rId121" Type="http://schemas.openxmlformats.org/officeDocument/2006/relationships/hyperlink" Target="https://www.ima.sc.gov.br/index.php/downloads/ecossistemas/4199-portaria-rppne-adelio-murakami" TargetMode="External"/><Relationship Id="rId3" Type="http://schemas.openxmlformats.org/officeDocument/2006/relationships/hyperlink" Target="https://sistemas.icmbio.gov.br/site_media/portarias/2010/03/24/PortRPPNCaraguat%C3%A10198N.pdf" TargetMode="External"/><Relationship Id="rId25"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46" Type="http://schemas.openxmlformats.org/officeDocument/2006/relationships/hyperlink" Target="https://sapl.itapoa.sc.leg.br/ta/1989/text" TargetMode="External"/><Relationship Id="rId67" Type="http://schemas.openxmlformats.org/officeDocument/2006/relationships/hyperlink" Target="https://leismunicipais.com.br/a/sc/b/biguacu/lei-ordinaria/2017/376/3752/lei-ordinaria-n-3752-2017-cria-o-parque-natural-municipal-serra-de-sao-miguel-no-municipio-de-biguacu-estado-de-santa-catarina-e-da-outras-providencias" TargetMode="External"/><Relationship Id="rId116" Type="http://schemas.openxmlformats.org/officeDocument/2006/relationships/hyperlink" Target="https://www.ima.sc.gov.br/index.php/biodiversidade/unidades-de-conservacao/parque-estadual-da-serra-furada/71-biodiversidade/biodiversidade/rppn" TargetMode="External"/><Relationship Id="rId20"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41" Type="http://schemas.openxmlformats.org/officeDocument/2006/relationships/hyperlink" Target="https://leismunicipais.com.br/a1/sc/b/biguacu/lei-ordinaria/2023/418/4178/lei-ordinaria-n-4178-2023-cria-a-unidade-de-conservacao-denominada-monumento-natural-cachoeira-do-amancio-e-da-outras-providencias" TargetMode="External"/><Relationship Id="rId62" Type="http://schemas.openxmlformats.org/officeDocument/2006/relationships/hyperlink" Target="https://leismunicipais.com.br/a2/sc/i/ilhota/decreto/2015/6/51/decreto-n-51-2015-cria-o-parque-natural-municipal-morro-do-bau-pnmmb-no-municipio-de-ilhota-sc-e-da-outras-providencias" TargetMode="External"/><Relationship Id="rId83" Type="http://schemas.openxmlformats.org/officeDocument/2006/relationships/hyperlink" Target="https://leisestaduais.com.br/sc/decreto-n-797-2003-santa-catarina-cria-o-parque-estadual-fritzplaumann-e-da-outras-providencias" TargetMode="External"/><Relationship Id="rId88" Type="http://schemas.openxmlformats.org/officeDocument/2006/relationships/hyperlink" Target="https://www.ima.sc.gov.br/index.php/biodiversidade/unidades-de-conservacao/parque-estadual-da-serra-furada/71-biodiversidade/biodiversidade/rppn" TargetMode="External"/><Relationship Id="rId111" Type="http://schemas.openxmlformats.org/officeDocument/2006/relationships/hyperlink" Target="https://www.ima.sc.gov.br/index.php/biodiversidade/unidades-de-conservacao/parque-estadual-da-serra-furada/71-biodiversidade/biodiversidade/rppn" TargetMode="External"/><Relationship Id="rId15" Type="http://schemas.openxmlformats.org/officeDocument/2006/relationships/hyperlink" Target="https://sistemas.icmbio.gov.br/site_media/portarias/2010/03/10/PortRPPNRetiroTun.pdf" TargetMode="External"/><Relationship Id="rId36" Type="http://schemas.openxmlformats.org/officeDocument/2006/relationships/hyperlink" Target="https://leismunicipais.com.br/a/sc/s/sao-bento-do-sul/lei-ordinaria/1998/25/246/lei-ordinaria-n-246-1998-cria-a-apa-area-de-protecao-ambiental-do-rio-vermelho-revoga-a-lei-n-696-96-e-da-outras-providencias" TargetMode="External"/><Relationship Id="rId57" Type="http://schemas.openxmlformats.org/officeDocument/2006/relationships/hyperlink" Target="https://leismunicipais.com.br/a/sc/f/florianopolis/lei-ordinaria/2013/933/9321/lei-ordinaria-n-9321-2013-cria-o-parque-natural-municipal-do-morro-da-cruz-da-outras-providencias-e-revoga-a-lei-n-6893-de-2005" TargetMode="External"/><Relationship Id="rId106" Type="http://schemas.openxmlformats.org/officeDocument/2006/relationships/hyperlink" Target="https://www.ima.sc.gov.br/index.php/biodiversidade/unidades-de-conservacao/parque-estadual-da-serra-furada/71-biodiversidade/biodiversidade/rppn" TargetMode="External"/><Relationship Id="rId127" Type="http://schemas.openxmlformats.org/officeDocument/2006/relationships/table" Target="../tables/table2.xml"/><Relationship Id="rId10" Type="http://schemas.openxmlformats.org/officeDocument/2006/relationships/hyperlink" Target="https://sistemas.icmbio.gov.br/site_media/portarias/2012/07/05/RPPN_Corredeiras_do_Rio_Itaja%C3%AD_II.pdf" TargetMode="External"/><Relationship Id="rId31" Type="http://schemas.openxmlformats.org/officeDocument/2006/relationships/hyperlink" Target="https://leismunicipais.com.br/a/sc/p/porto-belo/decreto/2008/39/395/decreto-n-395-2008-cria-a-area-de-protecao-ambiental-apa-da-ponta-do-araca-e-da-outras-providencias" TargetMode="External"/><Relationship Id="rId52" Type="http://schemas.openxmlformats.org/officeDocument/2006/relationships/hyperlink" Target="https://leismunicipais.com.br/a/sc/f/florianopolis/lei-ordinaria/2018/1039/10388/lei-ordinaria-n-10388-2018-dispoe-sobre-a-criacao-da-unidade-de-conservacao-parque-natural-municipal-das-dunas-da-lagoa-da-conceicao" TargetMode="External"/><Relationship Id="rId73" Type="http://schemas.openxmlformats.org/officeDocument/2006/relationships/hyperlink" Target="https://itapoa.atende.net/cidadao/pagina/rebio-mata-dos-guanandis-simflor-i" TargetMode="External"/><Relationship Id="rId78" Type="http://schemas.openxmlformats.org/officeDocument/2006/relationships/hyperlink" Target="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TargetMode="External"/><Relationship Id="rId94" Type="http://schemas.openxmlformats.org/officeDocument/2006/relationships/hyperlink" Target="https://www.ima.sc.gov.br/index.php/biodiversidade/unidades-de-conservacao/parque-estadual-da-serra-furada/71-biodiversidade/biodiversidade/rppn" TargetMode="External"/><Relationship Id="rId99" Type="http://schemas.openxmlformats.org/officeDocument/2006/relationships/hyperlink" Target="https://www.ima.sc.gov.br/index.php/biodiversidade/unidades-de-conservacao/parque-estadual-da-serra-furada/71-biodiversidade/biodiversidade/rppn" TargetMode="External"/><Relationship Id="rId101" Type="http://schemas.openxmlformats.org/officeDocument/2006/relationships/hyperlink" Target="https://www.ima.sc.gov.br/index.php/biodiversidade/unidades-de-conservacao/parque-estadual-da-serra-furada/71-biodiversidade/biodiversidade/rppn" TargetMode="External"/><Relationship Id="rId122" Type="http://schemas.openxmlformats.org/officeDocument/2006/relationships/hyperlink" Target="https://www.ima.sc.gov.br/index.php/downloads/ecossistemas/4200-portaria-rppne-cooper-a1" TargetMode="External"/><Relationship Id="rId4" Type="http://schemas.openxmlformats.org/officeDocument/2006/relationships/hyperlink" Target="https://sistemas.icmbio.gov.br/site_media/portarias/2011/02/25/RPPN_Arauc%C3%A1rias_Gigantes.pdf" TargetMode="External"/><Relationship Id="rId9" Type="http://schemas.openxmlformats.org/officeDocument/2006/relationships/hyperlink" Target="https://sistemas.icmbio.gov.br/site_media/portarias/2010/08/06/PortRPPNRef%C3%BAgiodoMacuco.pdf"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metadados.snirh.gov.br/geonetwork/srv/api/records/e0b9c0ba-a306-48b8-b542-e994f02185d5" TargetMode="External"/><Relationship Id="rId1"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hyperlink" Target="tel:+554934412000" TargetMode="External"/><Relationship Id="rId2" Type="http://schemas.openxmlformats.org/officeDocument/2006/relationships/hyperlink" Target="tel:4933218400" TargetMode="External"/><Relationship Id="rId1" Type="http://schemas.openxmlformats.org/officeDocument/2006/relationships/hyperlink" Target="https://www.google.com/search?q=secretaria+meio+ambiente+%C3%A1guas+de+chapec%C3%B3+telefone&amp;sca_esv=abf976e12d8dcb8e&amp;rlz=1C1GCEU_pt-BRBR1108BR1109&amp;sxsrf=ADLYWIJitpZKPJRspIA2fYTlX8NnmQo3Ig%3A1715258398655&amp;ei=HsQ8ZsjIJ7GG5OUPgYmN2Ao&amp;udm=&amp;ved=0ahUKEwjIz7K8y4CGAxUxA7kGHYFEA6sQ4dUDCBA&amp;uact=5&amp;oq=secretaria+meio+ambiente+%C3%A1guas+de+chapec%C3%B3+telefone&amp;gs_lp=Egxnd3Mtd2l6LXNlcnAiNHNlY3JldGFyaWEgbWVpbyBhbWJpZW50ZSDDoWd1YXMgZGUgY2hhcGVjw7MgdGVsZWZvbmUyCBAhGKABGMMESLkqUNwEWOsicAF4AJABAJgBvgGgAcsQqgEEMC4xNLgBA8gBAPgBAZgCB6ACqwfCAgsQABiABBiwAxiiBMICCBAAGIAEGKIEwgIKECEYoAEYwwQYCpgDAIgGAZAGA5IHAzEuNqAH1UY&amp;sclient=gws-wiz-serp" TargetMode="External"/><Relationship Id="rId5" Type="http://schemas.openxmlformats.org/officeDocument/2006/relationships/table" Target="../tables/table6.xml"/><Relationship Id="rId4" Type="http://schemas.openxmlformats.org/officeDocument/2006/relationships/hyperlink" Target="https://www.planalto.gov.br/ccivil_03/_ato2004-2006/2005/dnn/dnn10656.ht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8" Type="http://schemas.openxmlformats.org/officeDocument/2006/relationships/hyperlink" Target="https://sistemas.icmbio.gov.br/site_media/portarias/2010/08/20/Port.RPPN_Taipa_Rio_do_Couro.pdf" TargetMode="External"/><Relationship Id="rId13" Type="http://schemas.openxmlformats.org/officeDocument/2006/relationships/hyperlink" Target="https://sistemas.icmbio.gov.br/site_media/portarias/2010/03/10/PortRPPNRetiroTun.pdf" TargetMode="External"/><Relationship Id="rId3" Type="http://schemas.openxmlformats.org/officeDocument/2006/relationships/hyperlink" Target="https://sistemas.icmbio.gov.br/site_media/portarias/2010/03/24/PortRPPNCaraguat%C3%A10198N.pdf" TargetMode="External"/><Relationship Id="rId7" Type="http://schemas.openxmlformats.org/officeDocument/2006/relationships/hyperlink" Target="https://sistemas.icmbio.gov.br/site_media/portarias/2010/10/08/PortRPPNCorredeirasdoRioItaja%C3%ADContinua%C3%A7%C3%A3o.pdf" TargetMode="External"/><Relationship Id="rId12" Type="http://schemas.openxmlformats.org/officeDocument/2006/relationships/hyperlink" Target="https://sistemas.icmbio.gov.br/site_media/portarias/2012/09/14/RPPN_Odir_Zanelatto.pdf" TargetMode="External"/><Relationship Id="rId2" Type="http://schemas.openxmlformats.org/officeDocument/2006/relationships/hyperlink" Target="https://sistemas.icmbio.gov.br/site_media/portarias/2010/09/09/SC_RPPN_Caraguat%C3%A1_aaah.pdf" TargetMode="External"/><Relationship Id="rId16" Type="http://schemas.openxmlformats.org/officeDocument/2006/relationships/table" Target="../tables/table10.xml"/><Relationship Id="rId1" Type="http://schemas.openxmlformats.org/officeDocument/2006/relationships/hyperlink" Target="https://sistemas.icmbio.gov.br/site_media/portarias/2010/03/02/PortRPPNFazendaSantaTerezinha_.pdf" TargetMode="External"/><Relationship Id="rId6" Type="http://schemas.openxmlformats.org/officeDocument/2006/relationships/hyperlink" Target="https://sistemas.icmbio.gov.br/site_media/portarias/2010/03/02/PortRPPNTaipadoRioItaja%C3%AD.pdf" TargetMode="External"/><Relationship Id="rId11" Type="http://schemas.openxmlformats.org/officeDocument/2006/relationships/hyperlink" Target="https://sistemas.icmbio.gov.br/site_media/portarias/2012/07/05/RPPN_Corredeiras_do_Rio_Itaja%C3%AD_II.pdf" TargetMode="External"/><Relationship Id="rId5" Type="http://schemas.openxmlformats.org/officeDocument/2006/relationships/hyperlink" Target="https://sistemas.icmbio.gov.br/site_media/portarias/2011/02/25/RPPN_Arauc%C3%A1rias_Gigantes.pdf" TargetMode="External"/><Relationship Id="rId15" Type="http://schemas.openxmlformats.org/officeDocument/2006/relationships/table" Target="../tables/table9.xml"/><Relationship Id="rId10" Type="http://schemas.openxmlformats.org/officeDocument/2006/relationships/hyperlink" Target="https://sistemas.icmbio.gov.br/site_media/portarias/2010/08/06/PortRPPNRef%C3%BAgiodoMacuco.pdf" TargetMode="External"/><Relationship Id="rId4" Type="http://schemas.openxmlformats.org/officeDocument/2006/relationships/hyperlink" Target="https://sistemas.icmbio.gov.br/site_media/portarias/2010/09/10/SC_RPPN_Caraguata_Retifica%C3%A7ao.pdf" TargetMode="External"/><Relationship Id="rId9" Type="http://schemas.openxmlformats.org/officeDocument/2006/relationships/hyperlink" Target="https://sistemas.icmbio.gov.br/site_media/portarias/2012/06/28/RPPN_Raso_do_Mandi.pdf" TargetMode="External"/><Relationship Id="rId14"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8" Type="http://schemas.openxmlformats.org/officeDocument/2006/relationships/hyperlink" Target="https://periodicos.unb.br/index.php/sust/article/download/14975/13289/" TargetMode="External"/><Relationship Id="rId13" Type="http://schemas.openxmlformats.org/officeDocument/2006/relationships/hyperlink" Target="https://www.famabi.net/" TargetMode="External"/><Relationship Id="rId18" Type="http://schemas.openxmlformats.org/officeDocument/2006/relationships/hyperlink" Target="https://documentacao.socioambiental.org/ato_normativo/UC/1603_20140818_190039.pdf" TargetMode="External"/><Relationship Id="rId26" Type="http://schemas.openxmlformats.org/officeDocument/2006/relationships/hyperlink" Target="https://www.statkraft.com.br/globalassets/0/.com.br/8-statkraft-brazil/relatorios-meio-ambiente/pch-canoas---eia-e-rima/estudo-de-impacto-ambiental/anexos-eia/anexo-15---consultas-a-intervenientes/statkraft---pch-canoas---resposta-ima-ucs.pdf" TargetMode="External"/><Relationship Id="rId3" Type="http://schemas.openxmlformats.org/officeDocument/2006/relationships/hyperlink" Target="https://documentos.mpsc.mp.br/portal/manager/resourcesDB.aspx?path=336" TargetMode="External"/><Relationship Id="rId21" Type="http://schemas.openxmlformats.org/officeDocument/2006/relationships/hyperlink" Target="https://ima.sc.gov.br/index.php/biodiversidade/biodiversidade/corredores-ecologicos" TargetMode="External"/><Relationship Id="rId7" Type="http://schemas.openxmlformats.org/officeDocument/2006/relationships/hyperlink" Target="https://core.ac.uk/download/pdf/328065537.pdf" TargetMode="External"/><Relationship Id="rId12" Type="http://schemas.openxmlformats.org/officeDocument/2006/relationships/hyperlink" Target="https://www.joinville.sc.gov.br/servicos/unidades-de-conservacao-da-natureza-em-joinville/" TargetMode="External"/><Relationship Id="rId17" Type="http://schemas.openxmlformats.org/officeDocument/2006/relationships/hyperlink" Target="https://licenciamento.ibama.gov.br/Petroleo/Perfuracao/Perfuracao%20-%20Bacia%20de%20Santos%20-%20Bloco%20BM-S-8%20-%20Carcara%20-%20Statoil/EAP/II_10_PEI/Anexos/Anexo_I_PEPLC/Apendice%20I-Mapas%20Estrategicos.pdf" TargetMode="External"/><Relationship Id="rId25" Type="http://schemas.openxmlformats.org/officeDocument/2006/relationships/hyperlink" Target="https://turismo.camboriu.sc.gov.br/category/parques-e-reservas-ecologicas/" TargetMode="External"/><Relationship Id="rId2" Type="http://schemas.openxmlformats.org/officeDocument/2006/relationships/hyperlink" Target="https://www.pmf.sc.gov.br/arquivos/arquivos/pdf/06_05_2016_10.59.42.82fe6938422bfebbb7593898e0524b87.pdf" TargetMode="External"/><Relationship Id="rId16" Type="http://schemas.openxmlformats.org/officeDocument/2006/relationships/hyperlink" Target="http://repositorio.unesc.net/bitstream/1/1230/2/Plano%20de%20manejo%20do%20Parque%20Natural%20Municipal%20Morro%20o%20C%C3%A9u.pdf" TargetMode="External"/><Relationship Id="rId20" Type="http://schemas.openxmlformats.org/officeDocument/2006/relationships/hyperlink" Target="https://www.gov.br/incra/pt-br/assuntos/governanca-fundiaria/Acompanhamento_dos_processos_de_regularizacao_quilombola_15.10.2024.pdf" TargetMode="External"/><Relationship Id="rId29" Type="http://schemas.openxmlformats.org/officeDocument/2006/relationships/hyperlink" Target="https://documentos.mpsc.mp.br/portal/manager/resourcesDB.aspx?path=336" TargetMode="External"/><Relationship Id="rId1" Type="http://schemas.openxmlformats.org/officeDocument/2006/relationships/hyperlink" Target="https://wwwold.joinville.sc.gov.br/public/portaladm/pdf/jornal/e92f52466db78cb7b976632203e7de7e.pdf" TargetMode="External"/><Relationship Id="rId6" Type="http://schemas.openxmlformats.org/officeDocument/2006/relationships/hyperlink" Target="https://www.cultura.sc.gov.br/downloads/patrimonio-cultural/2952-catalogo-de-bens-tombados-fcc-set-2022/file" TargetMode="External"/><Relationship Id="rId11" Type="http://schemas.openxmlformats.org/officeDocument/2006/relationships/hyperlink" Target="https://www.ima.sc.gov.br/index.php/biodiversidade/unidades-de-conservacao" TargetMode="External"/><Relationship Id="rId24"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5" Type="http://schemas.openxmlformats.org/officeDocument/2006/relationships/hyperlink" Target="https://www.sas.sc.gov.br/index.php/downloads/conselhos/cepin/4121-indigenas-aldeados-que-vivem-em-santa-catarina-1/file" TargetMode="External"/><Relationship Id="rId15" Type="http://schemas.openxmlformats.org/officeDocument/2006/relationships/hyperlink" Target="https://www.gov.br/funai/pt-br/atuacao/terras-indigenas/geoprocessamento-e-mapas" TargetMode="External"/><Relationship Id="rId23" Type="http://schemas.openxmlformats.org/officeDocument/2006/relationships/hyperlink" Target="https://www.criciuma.sc.gov.br/pmc/webroot/upload/ckfinder/files/SCCRC008_HIGHLINE_EIV.PDF" TargetMode="External"/><Relationship Id="rId28" Type="http://schemas.openxmlformats.org/officeDocument/2006/relationships/hyperlink" Target="https://guabiruba.sc.gov.br/noticia-724253/" TargetMode="External"/><Relationship Id="rId10" Type="http://schemas.openxmlformats.org/officeDocument/2006/relationships/hyperlink" Target="https://leisestaduais.com.br/sc" TargetMode="External"/><Relationship Id="rId19" Type="http://schemas.openxmlformats.org/officeDocument/2006/relationships/hyperlink" Target="https://reservasdabiosfera.org.br/wp-content/uploads/2021/11/fase-7-POR-compactado.pdf" TargetMode="External"/><Relationship Id="rId4" Type="http://schemas.openxmlformats.org/officeDocument/2006/relationships/hyperlink" Target="https://leiaufsc.wordpress.com/wp-content/uploads/2015/08/terras-indc3adgenas-em-santa-catarina.pdf" TargetMode="External"/><Relationship Id="rId9" Type="http://schemas.openxmlformats.org/officeDocument/2006/relationships/hyperlink" Target="https://leismunicipais.com.br/" TargetMode="External"/><Relationship Id="rId14" Type="http://schemas.openxmlformats.org/officeDocument/2006/relationships/hyperlink" Target="https://inis.itajai.sc.gov.br/l/beta-unidades-de-conservacao" TargetMode="External"/><Relationship Id="rId22" Type="http://schemas.openxmlformats.org/officeDocument/2006/relationships/hyperlink" Target="https://terrasindigenas.org.br/pt-br/brasil" TargetMode="External"/><Relationship Id="rId27" Type="http://schemas.openxmlformats.org/officeDocument/2006/relationships/hyperlink" Target="https://www.researchgate.net/publication/380236003_O_DILEMA_ENTRE_MONA_E_APA_O_CASO_DA_LAGOA_DO_PERI" TargetMode="External"/><Relationship Id="rId30" Type="http://schemas.openxmlformats.org/officeDocument/2006/relationships/hyperlink" Target="https://sistemas.icmbio.gov.br/simrppn/publico/rppn/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433D-267A-4C87-95C0-FD18D5741C79}">
  <dimension ref="A1:D32"/>
  <sheetViews>
    <sheetView workbookViewId="0">
      <selection activeCell="I26" sqref="I26"/>
    </sheetView>
  </sheetViews>
  <sheetFormatPr defaultRowHeight="15"/>
  <cols>
    <col min="1" max="1" width="19.28515625" customWidth="1"/>
    <col min="2" max="2" width="44.85546875" customWidth="1"/>
    <col min="3" max="3" width="21.5703125" customWidth="1"/>
    <col min="4" max="4" width="50.7109375" customWidth="1"/>
  </cols>
  <sheetData>
    <row r="1" spans="1:4">
      <c r="A1" s="187" t="s">
        <v>0</v>
      </c>
      <c r="B1" s="187" t="s">
        <v>1</v>
      </c>
      <c r="C1" s="187" t="s">
        <v>2</v>
      </c>
      <c r="D1" s="187" t="s">
        <v>3</v>
      </c>
    </row>
    <row r="2" spans="1:4">
      <c r="A2" s="188" t="s">
        <v>4</v>
      </c>
      <c r="B2" s="188" t="s">
        <v>5</v>
      </c>
      <c r="C2" s="188" t="s">
        <v>6</v>
      </c>
      <c r="D2" s="188" t="s">
        <v>7</v>
      </c>
    </row>
    <row r="3" spans="1:4">
      <c r="A3" s="188" t="s">
        <v>8</v>
      </c>
      <c r="B3" s="188" t="s">
        <v>9</v>
      </c>
      <c r="C3" s="188" t="s">
        <v>10</v>
      </c>
      <c r="D3" s="188" t="s">
        <v>11</v>
      </c>
    </row>
    <row r="4" spans="1:4">
      <c r="A4" s="188" t="s">
        <v>12</v>
      </c>
      <c r="B4" s="188" t="s">
        <v>13</v>
      </c>
      <c r="C4" s="188" t="s">
        <v>14</v>
      </c>
      <c r="D4" s="188" t="s">
        <v>15</v>
      </c>
    </row>
    <row r="5" spans="1:4">
      <c r="A5" s="188" t="s">
        <v>16</v>
      </c>
      <c r="B5" s="188" t="s">
        <v>17</v>
      </c>
      <c r="C5" s="188" t="s">
        <v>18</v>
      </c>
      <c r="D5" s="188" t="s">
        <v>19</v>
      </c>
    </row>
    <row r="6" spans="1:4">
      <c r="A6" s="188" t="s">
        <v>20</v>
      </c>
      <c r="B6" s="188" t="s">
        <v>21</v>
      </c>
      <c r="C6" s="188" t="s">
        <v>22</v>
      </c>
      <c r="D6" s="188" t="s">
        <v>23</v>
      </c>
    </row>
    <row r="7" spans="1:4">
      <c r="A7" s="188" t="s">
        <v>24</v>
      </c>
      <c r="B7" s="188" t="s">
        <v>25</v>
      </c>
      <c r="C7" s="188" t="s">
        <v>26</v>
      </c>
      <c r="D7" s="188" t="s">
        <v>27</v>
      </c>
    </row>
    <row r="8" spans="1:4">
      <c r="A8" s="188" t="s">
        <v>28</v>
      </c>
      <c r="B8" s="188" t="s">
        <v>29</v>
      </c>
      <c r="C8" s="188" t="s">
        <v>30</v>
      </c>
      <c r="D8" s="188" t="s">
        <v>31</v>
      </c>
    </row>
    <row r="9" spans="1:4">
      <c r="A9" s="188" t="s">
        <v>32</v>
      </c>
      <c r="B9" s="188" t="s">
        <v>33</v>
      </c>
      <c r="C9" s="188" t="s">
        <v>34</v>
      </c>
      <c r="D9" s="188" t="s">
        <v>35</v>
      </c>
    </row>
    <row r="10" spans="1:4">
      <c r="A10" s="188" t="s">
        <v>36</v>
      </c>
      <c r="B10" s="188" t="s">
        <v>37</v>
      </c>
      <c r="C10" s="188" t="s">
        <v>38</v>
      </c>
      <c r="D10" s="188" t="s">
        <v>39</v>
      </c>
    </row>
    <row r="11" spans="1:4">
      <c r="A11" s="188" t="s">
        <v>22</v>
      </c>
      <c r="B11" s="188" t="s">
        <v>40</v>
      </c>
      <c r="C11" s="188" t="s">
        <v>41</v>
      </c>
      <c r="D11" s="188" t="s">
        <v>42</v>
      </c>
    </row>
    <row r="12" spans="1:4">
      <c r="A12" s="188" t="s">
        <v>43</v>
      </c>
      <c r="B12" s="188" t="s">
        <v>44</v>
      </c>
      <c r="C12" s="188" t="s">
        <v>22</v>
      </c>
      <c r="D12" s="188" t="s">
        <v>23</v>
      </c>
    </row>
    <row r="13" spans="1:4">
      <c r="A13" s="188" t="s">
        <v>45</v>
      </c>
      <c r="B13" s="188" t="s">
        <v>46</v>
      </c>
      <c r="C13" s="188" t="s">
        <v>47</v>
      </c>
      <c r="D13" s="188" t="s">
        <v>48</v>
      </c>
    </row>
    <row r="14" spans="1:4">
      <c r="A14" s="188" t="s">
        <v>49</v>
      </c>
      <c r="B14" s="188" t="s">
        <v>50</v>
      </c>
      <c r="C14" s="188" t="s">
        <v>51</v>
      </c>
      <c r="D14" s="188" t="s">
        <v>52</v>
      </c>
    </row>
    <row r="15" spans="1:4">
      <c r="A15" s="188" t="s">
        <v>53</v>
      </c>
      <c r="B15" s="188" t="s">
        <v>54</v>
      </c>
      <c r="C15" s="188" t="s">
        <v>55</v>
      </c>
      <c r="D15" s="188" t="s">
        <v>56</v>
      </c>
    </row>
    <row r="16" spans="1:4">
      <c r="A16" s="189" t="s">
        <v>57</v>
      </c>
      <c r="B16" s="189"/>
      <c r="C16" s="188" t="s">
        <v>58</v>
      </c>
      <c r="D16" s="188" t="s">
        <v>59</v>
      </c>
    </row>
    <row r="17" spans="1:4">
      <c r="A17" s="188" t="s">
        <v>60</v>
      </c>
      <c r="B17" s="188" t="s">
        <v>61</v>
      </c>
      <c r="C17" s="188" t="s">
        <v>62</v>
      </c>
      <c r="D17" s="188" t="s">
        <v>63</v>
      </c>
    </row>
    <row r="18" spans="1:4">
      <c r="A18" s="188" t="s">
        <v>64</v>
      </c>
      <c r="B18" s="188" t="s">
        <v>65</v>
      </c>
      <c r="C18" s="188" t="s">
        <v>66</v>
      </c>
      <c r="D18" s="188" t="s">
        <v>67</v>
      </c>
    </row>
    <row r="19" spans="1:4">
      <c r="A19" s="188" t="s">
        <v>68</v>
      </c>
      <c r="B19" s="188" t="s">
        <v>69</v>
      </c>
      <c r="C19" s="188" t="s">
        <v>70</v>
      </c>
      <c r="D19" s="188" t="s">
        <v>71</v>
      </c>
    </row>
    <row r="20" spans="1:4">
      <c r="A20" s="188" t="s">
        <v>72</v>
      </c>
      <c r="B20" s="188" t="s">
        <v>73</v>
      </c>
      <c r="C20" s="188" t="s">
        <v>74</v>
      </c>
      <c r="D20" s="188" t="s">
        <v>75</v>
      </c>
    </row>
    <row r="21" spans="1:4">
      <c r="A21" s="188" t="s">
        <v>51</v>
      </c>
      <c r="B21" s="188" t="s">
        <v>76</v>
      </c>
      <c r="C21" s="188" t="s">
        <v>77</v>
      </c>
      <c r="D21" s="188" t="s">
        <v>78</v>
      </c>
    </row>
    <row r="22" spans="1:4">
      <c r="A22" s="188" t="s">
        <v>79</v>
      </c>
      <c r="B22" s="188" t="s">
        <v>80</v>
      </c>
      <c r="C22" s="190" t="s">
        <v>81</v>
      </c>
      <c r="D22" s="191" t="s">
        <v>82</v>
      </c>
    </row>
    <row r="23" spans="1:4" ht="27.75">
      <c r="A23" s="188" t="s">
        <v>83</v>
      </c>
      <c r="B23" s="188" t="s">
        <v>84</v>
      </c>
      <c r="C23" s="192" t="s">
        <v>85</v>
      </c>
      <c r="D23" s="193" t="s">
        <v>86</v>
      </c>
    </row>
    <row r="24" spans="1:4" ht="27.75">
      <c r="A24" s="188" t="s">
        <v>87</v>
      </c>
      <c r="B24" s="188" t="s">
        <v>88</v>
      </c>
      <c r="C24" s="194" t="s">
        <v>89</v>
      </c>
      <c r="D24" s="191" t="s">
        <v>90</v>
      </c>
    </row>
    <row r="25" spans="1:4">
      <c r="A25" s="188" t="s">
        <v>91</v>
      </c>
      <c r="B25" s="188" t="s">
        <v>92</v>
      </c>
      <c r="C25" s="191"/>
      <c r="D25" s="191"/>
    </row>
    <row r="26" spans="1:4">
      <c r="A26" s="188" t="s">
        <v>93</v>
      </c>
      <c r="B26" s="188" t="s">
        <v>94</v>
      </c>
      <c r="C26" s="191"/>
      <c r="D26" s="191"/>
    </row>
    <row r="27" spans="1:4">
      <c r="A27" s="188" t="s">
        <v>95</v>
      </c>
      <c r="B27" s="188" t="s">
        <v>96</v>
      </c>
      <c r="C27" s="191"/>
      <c r="D27" s="191"/>
    </row>
    <row r="28" spans="1:4">
      <c r="A28" s="188" t="s">
        <v>97</v>
      </c>
      <c r="B28" s="188" t="s">
        <v>98</v>
      </c>
      <c r="C28" s="191"/>
      <c r="D28" s="191"/>
    </row>
    <row r="29" spans="1:4">
      <c r="A29" s="188" t="s">
        <v>99</v>
      </c>
      <c r="B29" s="188" t="s">
        <v>100</v>
      </c>
      <c r="C29" s="191"/>
      <c r="D29" s="191"/>
    </row>
    <row r="30" spans="1:4">
      <c r="A30" s="188" t="s">
        <v>101</v>
      </c>
      <c r="B30" s="188" t="s">
        <v>102</v>
      </c>
      <c r="C30" s="191"/>
      <c r="D30" s="191"/>
    </row>
    <row r="31" spans="1:4">
      <c r="A31" s="188" t="s">
        <v>103</v>
      </c>
      <c r="B31" s="188" t="s">
        <v>104</v>
      </c>
      <c r="C31" s="191"/>
      <c r="D31" s="191"/>
    </row>
    <row r="32" spans="1:4">
      <c r="A32" s="195"/>
      <c r="B32" s="195"/>
      <c r="C32" s="195"/>
      <c r="D32" s="19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2514F-54FD-4732-8C7E-61BF08278D5D}">
  <dimension ref="A1:L99"/>
  <sheetViews>
    <sheetView workbookViewId="0">
      <selection activeCell="K2" sqref="K2"/>
    </sheetView>
  </sheetViews>
  <sheetFormatPr defaultRowHeight="15"/>
  <cols>
    <col min="1" max="1" width="39.85546875" customWidth="1"/>
    <col min="2" max="2" width="26.5703125" customWidth="1"/>
    <col min="3" max="3" width="22.7109375" customWidth="1"/>
    <col min="4" max="4" width="18" customWidth="1"/>
    <col min="5" max="5" width="16.5703125" customWidth="1"/>
    <col min="6" max="6" width="24.42578125" customWidth="1"/>
    <col min="7" max="7" width="15.140625" customWidth="1"/>
    <col min="8" max="8" width="16.85546875" customWidth="1"/>
    <col min="9" max="9" width="17.5703125" customWidth="1"/>
    <col min="10" max="10" width="17.85546875" customWidth="1"/>
    <col min="11" max="11" width="33.42578125" customWidth="1"/>
  </cols>
  <sheetData>
    <row r="1" spans="1:12">
      <c r="A1" s="187" t="s">
        <v>105</v>
      </c>
      <c r="B1" s="233" t="s">
        <v>106</v>
      </c>
      <c r="C1" s="233" t="s">
        <v>107</v>
      </c>
      <c r="D1" s="234" t="s">
        <v>108</v>
      </c>
      <c r="E1" s="234" t="s">
        <v>109</v>
      </c>
      <c r="F1" s="232" t="s">
        <v>110</v>
      </c>
      <c r="G1" s="232" t="s">
        <v>111</v>
      </c>
      <c r="H1" s="232" t="s">
        <v>112</v>
      </c>
      <c r="I1" s="232" t="s">
        <v>113</v>
      </c>
      <c r="J1" s="4" t="s">
        <v>114</v>
      </c>
    </row>
    <row r="2" spans="1:12">
      <c r="A2" s="235" t="s">
        <v>115</v>
      </c>
      <c r="B2" s="235" t="s">
        <v>39</v>
      </c>
      <c r="C2" s="235" t="s">
        <v>116</v>
      </c>
      <c r="D2" s="231" t="s">
        <v>117</v>
      </c>
      <c r="E2" s="235" t="s">
        <v>118</v>
      </c>
      <c r="F2" s="1" t="s">
        <v>119</v>
      </c>
      <c r="J2" s="154">
        <v>46204</v>
      </c>
      <c r="K2" s="1" t="s">
        <v>120</v>
      </c>
      <c r="L2" s="1"/>
    </row>
    <row r="3" spans="1:12">
      <c r="A3" s="274"/>
      <c r="B3" s="275"/>
      <c r="C3" s="275"/>
      <c r="D3" s="275"/>
      <c r="E3" s="274"/>
    </row>
    <row r="4" spans="1:12">
      <c r="A4" s="276"/>
      <c r="B4" s="277"/>
      <c r="C4" s="277"/>
      <c r="D4" s="277"/>
      <c r="E4" s="276"/>
    </row>
    <row r="5" spans="1:12">
      <c r="A5" s="276"/>
      <c r="B5" s="276"/>
      <c r="C5" s="276"/>
      <c r="D5" s="276"/>
      <c r="E5" s="276"/>
    </row>
    <row r="6" spans="1:12">
      <c r="A6" s="276"/>
      <c r="B6" s="276"/>
      <c r="C6" s="276"/>
      <c r="D6" s="276"/>
      <c r="E6" s="276"/>
    </row>
    <row r="7" spans="1:12">
      <c r="A7" s="276"/>
      <c r="B7" s="277"/>
      <c r="C7" s="277"/>
      <c r="D7" s="277"/>
      <c r="E7" s="276"/>
    </row>
    <row r="8" spans="1:12">
      <c r="A8" s="276"/>
      <c r="B8" s="276"/>
      <c r="C8" s="276"/>
      <c r="D8" s="276"/>
      <c r="E8" s="276"/>
    </row>
    <row r="9" spans="1:12">
      <c r="A9" s="276"/>
      <c r="B9" s="276"/>
      <c r="C9" s="276"/>
      <c r="D9" s="276"/>
      <c r="E9" s="276"/>
    </row>
    <row r="10" spans="1:12">
      <c r="A10" s="276"/>
      <c r="B10" s="276"/>
      <c r="C10" s="276"/>
      <c r="D10" s="276"/>
      <c r="E10" s="276"/>
    </row>
    <row r="11" spans="1:12">
      <c r="A11" s="276"/>
      <c r="B11" s="277"/>
      <c r="C11" s="277"/>
      <c r="D11" s="277"/>
      <c r="E11" s="276"/>
    </row>
    <row r="12" spans="1:12">
      <c r="A12" s="276"/>
      <c r="B12" s="277"/>
      <c r="C12" s="277"/>
      <c r="D12" s="277"/>
      <c r="E12" s="276"/>
    </row>
    <row r="13" spans="1:12">
      <c r="A13" s="277"/>
      <c r="B13" s="276"/>
      <c r="C13" s="276"/>
      <c r="D13" s="276"/>
      <c r="E13" s="197"/>
      <c r="F13" s="40"/>
    </row>
    <row r="14" spans="1:12">
      <c r="A14" s="276"/>
      <c r="B14" s="276"/>
      <c r="C14" s="276"/>
      <c r="D14" s="276"/>
      <c r="E14" s="276"/>
    </row>
    <row r="15" spans="1:12">
      <c r="A15" s="276"/>
      <c r="B15" s="277"/>
      <c r="C15" s="277"/>
      <c r="D15" s="277"/>
      <c r="E15" s="276"/>
    </row>
    <row r="16" spans="1:12">
      <c r="A16" s="276"/>
      <c r="B16" s="276"/>
      <c r="C16" s="276"/>
      <c r="D16" s="276"/>
      <c r="E16" s="276"/>
    </row>
    <row r="17" spans="1:9">
      <c r="A17" s="276"/>
      <c r="B17" s="277"/>
      <c r="C17" s="277"/>
      <c r="D17" s="277"/>
      <c r="E17" s="276"/>
    </row>
    <row r="18" spans="1:9">
      <c r="A18" s="276"/>
      <c r="B18" s="277"/>
      <c r="C18" s="277"/>
      <c r="D18" s="277"/>
      <c r="E18" s="276"/>
    </row>
    <row r="19" spans="1:9">
      <c r="A19" s="276"/>
      <c r="B19" s="276"/>
      <c r="C19" s="276"/>
      <c r="D19" s="276"/>
      <c r="E19" s="276"/>
    </row>
    <row r="20" spans="1:9">
      <c r="A20" s="276"/>
      <c r="B20" s="276"/>
      <c r="C20" s="276"/>
      <c r="D20" s="276"/>
      <c r="E20" s="276"/>
    </row>
    <row r="21" spans="1:9">
      <c r="A21" s="276"/>
      <c r="B21" s="276"/>
      <c r="C21" s="276"/>
      <c r="D21" s="276"/>
      <c r="E21" s="276"/>
    </row>
    <row r="22" spans="1:9">
      <c r="A22" s="276"/>
      <c r="B22" s="276"/>
      <c r="C22" s="276"/>
      <c r="D22" s="276"/>
      <c r="E22" s="276"/>
    </row>
    <row r="23" spans="1:9">
      <c r="A23" s="276"/>
      <c r="B23" s="276"/>
      <c r="C23" s="276"/>
      <c r="D23" s="276"/>
      <c r="E23" s="276"/>
    </row>
    <row r="24" spans="1:9">
      <c r="A24" s="276"/>
      <c r="B24" s="276"/>
      <c r="C24" s="276"/>
      <c r="D24" s="276"/>
      <c r="E24" s="276"/>
    </row>
    <row r="25" spans="1:9">
      <c r="A25" s="276"/>
      <c r="B25" s="276"/>
      <c r="C25" s="276"/>
      <c r="D25" s="276"/>
      <c r="E25" s="276"/>
    </row>
    <row r="26" spans="1:9">
      <c r="A26" s="276"/>
      <c r="B26" s="276"/>
      <c r="C26" s="276"/>
      <c r="D26" s="276"/>
      <c r="E26" s="276"/>
    </row>
    <row r="27" spans="1:9">
      <c r="A27" s="276"/>
      <c r="B27" s="277"/>
      <c r="C27" s="277"/>
      <c r="D27" s="277"/>
      <c r="E27" s="276"/>
    </row>
    <row r="28" spans="1:9">
      <c r="A28" s="276"/>
      <c r="B28" s="276"/>
      <c r="C28" s="276"/>
      <c r="D28" s="276"/>
      <c r="E28" s="276"/>
    </row>
    <row r="29" spans="1:9">
      <c r="A29" s="276"/>
      <c r="B29" s="276"/>
      <c r="C29" s="276"/>
      <c r="D29" s="276"/>
      <c r="E29" s="276"/>
    </row>
    <row r="30" spans="1:9">
      <c r="A30" s="276"/>
      <c r="B30" s="277"/>
      <c r="C30" s="277"/>
      <c r="D30" s="277"/>
      <c r="E30" s="276"/>
    </row>
    <row r="31" spans="1:9">
      <c r="A31" s="276"/>
      <c r="B31" s="276"/>
      <c r="C31" s="276"/>
      <c r="D31" s="276"/>
      <c r="E31" s="276"/>
      <c r="G31" t="s">
        <v>121</v>
      </c>
      <c r="H31" t="s">
        <v>121</v>
      </c>
      <c r="I31" t="s">
        <v>122</v>
      </c>
    </row>
    <row r="32" spans="1:9">
      <c r="A32" s="276"/>
      <c r="B32" s="277"/>
      <c r="C32" s="277"/>
      <c r="D32" s="277"/>
      <c r="E32" s="276"/>
    </row>
    <row r="33" spans="1:6">
      <c r="A33" s="276"/>
      <c r="B33" s="276"/>
      <c r="C33" s="276"/>
      <c r="D33" s="276"/>
      <c r="E33" s="276"/>
    </row>
    <row r="34" spans="1:6">
      <c r="A34" s="276"/>
      <c r="B34" s="277"/>
      <c r="C34" s="277"/>
      <c r="D34" s="277"/>
      <c r="E34" s="276"/>
    </row>
    <row r="35" spans="1:6">
      <c r="A35" s="276"/>
      <c r="B35" s="277"/>
      <c r="C35" s="277"/>
      <c r="D35" s="277"/>
      <c r="E35" s="276"/>
    </row>
    <row r="36" spans="1:6">
      <c r="A36" s="276"/>
      <c r="B36" s="277"/>
      <c r="C36" s="277"/>
      <c r="D36" s="277"/>
      <c r="E36" s="276"/>
    </row>
    <row r="37" spans="1:6">
      <c r="A37" s="276"/>
      <c r="B37" s="277"/>
      <c r="C37" s="277"/>
      <c r="D37" s="277"/>
      <c r="E37" s="276"/>
    </row>
    <row r="38" spans="1:6">
      <c r="A38" s="276"/>
      <c r="B38" s="277"/>
      <c r="C38" s="277"/>
      <c r="D38" s="277"/>
      <c r="E38" s="276"/>
    </row>
    <row r="39" spans="1:6">
      <c r="A39" s="276"/>
      <c r="B39" s="277"/>
      <c r="C39" s="277"/>
      <c r="D39" s="277"/>
      <c r="E39" s="276"/>
    </row>
    <row r="40" spans="1:6">
      <c r="A40" s="276"/>
      <c r="B40" s="277"/>
      <c r="C40" s="277"/>
      <c r="D40" s="277"/>
      <c r="E40" s="276"/>
    </row>
    <row r="41" spans="1:6">
      <c r="A41" s="276"/>
      <c r="B41" s="277"/>
      <c r="C41" s="277"/>
      <c r="D41" s="277"/>
      <c r="E41" s="276"/>
    </row>
    <row r="42" spans="1:6">
      <c r="A42" s="276"/>
      <c r="B42" s="277"/>
      <c r="C42" s="277"/>
      <c r="D42" s="277"/>
      <c r="E42" s="276"/>
    </row>
    <row r="43" spans="1:6">
      <c r="A43" s="276"/>
      <c r="B43" s="277"/>
      <c r="C43" s="277"/>
      <c r="D43" s="277"/>
      <c r="E43" s="276"/>
    </row>
    <row r="44" spans="1:6">
      <c r="A44" s="277"/>
      <c r="B44" s="276"/>
      <c r="C44" s="276"/>
      <c r="D44" s="276"/>
      <c r="E44" s="197"/>
      <c r="F44" s="40"/>
    </row>
    <row r="45" spans="1:6">
      <c r="A45" s="197"/>
      <c r="B45" s="276"/>
      <c r="C45" s="276"/>
      <c r="D45" s="276"/>
      <c r="E45" s="276"/>
    </row>
    <row r="46" spans="1:6">
      <c r="A46" s="197"/>
      <c r="B46" s="276"/>
      <c r="C46" s="276"/>
      <c r="D46" s="276"/>
      <c r="E46" s="276"/>
    </row>
    <row r="47" spans="1:6">
      <c r="A47" s="276"/>
      <c r="B47" s="277"/>
      <c r="C47" s="277"/>
      <c r="D47" s="277"/>
      <c r="E47" s="276"/>
    </row>
    <row r="48" spans="1:6">
      <c r="A48" s="276"/>
      <c r="B48" s="277"/>
      <c r="C48" s="277"/>
      <c r="D48" s="277"/>
      <c r="E48" s="276"/>
    </row>
    <row r="49" spans="1:5">
      <c r="A49" s="276"/>
      <c r="B49" s="276"/>
      <c r="C49" s="276"/>
      <c r="D49" s="276"/>
      <c r="E49" s="276"/>
    </row>
    <row r="50" spans="1:5">
      <c r="A50" s="209"/>
      <c r="B50" s="276"/>
      <c r="C50" s="276"/>
      <c r="D50" s="276"/>
      <c r="E50" s="276"/>
    </row>
    <row r="51" spans="1:5">
      <c r="A51" s="276"/>
      <c r="B51" s="276"/>
      <c r="C51" s="276"/>
      <c r="D51" s="276"/>
      <c r="E51" s="276"/>
    </row>
    <row r="52" spans="1:5">
      <c r="A52" s="276"/>
      <c r="B52" s="277"/>
      <c r="C52" s="277"/>
      <c r="D52" s="277"/>
      <c r="E52" s="276"/>
    </row>
    <row r="53" spans="1:5">
      <c r="A53" s="197"/>
      <c r="B53" s="276"/>
      <c r="C53" s="276"/>
      <c r="D53" s="276"/>
      <c r="E53" s="276"/>
    </row>
    <row r="54" spans="1:5">
      <c r="A54" s="276"/>
      <c r="B54" s="276"/>
      <c r="C54" s="276"/>
      <c r="D54" s="276"/>
      <c r="E54" s="276"/>
    </row>
    <row r="55" spans="1:5">
      <c r="A55" s="197"/>
      <c r="B55" s="276"/>
      <c r="C55" s="276"/>
      <c r="D55" s="276"/>
      <c r="E55" s="276"/>
    </row>
    <row r="56" spans="1:5">
      <c r="A56" s="276"/>
      <c r="B56" s="277"/>
      <c r="C56" s="277"/>
      <c r="D56" s="277"/>
      <c r="E56" s="276"/>
    </row>
    <row r="57" spans="1:5">
      <c r="A57" s="276"/>
      <c r="B57" s="277"/>
      <c r="C57" s="277"/>
      <c r="D57" s="277"/>
      <c r="E57" s="276"/>
    </row>
    <row r="58" spans="1:5">
      <c r="A58" s="276"/>
      <c r="B58" s="276"/>
      <c r="C58" s="276"/>
      <c r="D58" s="276"/>
      <c r="E58" s="276"/>
    </row>
    <row r="59" spans="1:5">
      <c r="A59" s="276"/>
      <c r="B59" s="276"/>
      <c r="C59" s="276"/>
      <c r="D59" s="276"/>
      <c r="E59" s="276"/>
    </row>
    <row r="60" spans="1:5">
      <c r="A60" s="276"/>
      <c r="B60" s="277"/>
      <c r="C60" s="277"/>
      <c r="D60" s="277"/>
      <c r="E60" s="276"/>
    </row>
    <row r="61" spans="1:5">
      <c r="A61" s="197"/>
      <c r="B61" s="276"/>
      <c r="C61" s="276"/>
      <c r="D61" s="276"/>
      <c r="E61" s="276"/>
    </row>
    <row r="62" spans="1:5">
      <c r="A62" s="197"/>
      <c r="B62" s="276"/>
      <c r="C62" s="276"/>
      <c r="D62" s="276"/>
      <c r="E62" s="276"/>
    </row>
    <row r="63" spans="1:5">
      <c r="A63" s="277"/>
      <c r="B63" s="276"/>
      <c r="C63" s="276"/>
      <c r="D63" s="276"/>
      <c r="E63" s="276"/>
    </row>
    <row r="64" spans="1:5">
      <c r="A64" s="277"/>
      <c r="B64" s="276"/>
      <c r="C64" s="276"/>
      <c r="D64" s="276"/>
      <c r="E64" s="197"/>
    </row>
    <row r="65" spans="1:5">
      <c r="A65" s="276"/>
      <c r="B65" s="277"/>
      <c r="C65" s="277"/>
      <c r="D65" s="277"/>
      <c r="E65" s="276"/>
    </row>
    <row r="66" spans="1:5">
      <c r="A66" s="276"/>
      <c r="B66" s="276"/>
      <c r="C66" s="276"/>
      <c r="D66" s="276"/>
      <c r="E66" s="276"/>
    </row>
    <row r="67" spans="1:5">
      <c r="A67" s="199"/>
      <c r="B67" s="276"/>
      <c r="C67" s="276"/>
      <c r="D67" s="276"/>
      <c r="E67" s="276"/>
    </row>
    <row r="68" spans="1:5">
      <c r="A68" s="276"/>
      <c r="B68" s="277"/>
      <c r="C68" s="277"/>
      <c r="D68" s="277"/>
      <c r="E68" s="276"/>
    </row>
    <row r="69" spans="1:5">
      <c r="A69" s="276"/>
      <c r="B69" s="276"/>
      <c r="C69" s="276"/>
      <c r="D69" s="276"/>
      <c r="E69" s="276"/>
    </row>
    <row r="70" spans="1:5">
      <c r="A70" s="199"/>
      <c r="B70" s="276"/>
      <c r="C70" s="276"/>
      <c r="D70" s="276"/>
      <c r="E70" s="276"/>
    </row>
    <row r="71" spans="1:5">
      <c r="A71" s="276"/>
      <c r="B71" s="276"/>
      <c r="C71" s="276"/>
      <c r="D71" s="276"/>
      <c r="E71" s="276"/>
    </row>
    <row r="72" spans="1:5">
      <c r="A72" s="197"/>
      <c r="B72" s="276"/>
      <c r="C72" s="276"/>
      <c r="D72" s="276"/>
      <c r="E72" s="276"/>
    </row>
    <row r="73" spans="1:5">
      <c r="A73" s="197"/>
      <c r="B73" s="276"/>
      <c r="C73" s="276"/>
      <c r="D73" s="276"/>
      <c r="E73" s="276"/>
    </row>
    <row r="74" spans="1:5">
      <c r="A74" s="197"/>
      <c r="B74" s="276"/>
      <c r="C74" s="276"/>
      <c r="D74" s="276"/>
      <c r="E74" s="276"/>
    </row>
    <row r="75" spans="1:5">
      <c r="A75" s="197"/>
      <c r="B75" s="276"/>
      <c r="C75" s="276"/>
      <c r="D75" s="276"/>
      <c r="E75" s="276"/>
    </row>
    <row r="76" spans="1:5">
      <c r="A76" s="276"/>
      <c r="B76" s="276"/>
      <c r="C76" s="276"/>
      <c r="D76" s="276"/>
      <c r="E76" s="276"/>
    </row>
    <row r="77" spans="1:5">
      <c r="A77" s="276"/>
      <c r="B77" s="276"/>
      <c r="C77" s="276"/>
      <c r="D77" s="276"/>
      <c r="E77" s="276"/>
    </row>
    <row r="78" spans="1:5">
      <c r="A78" s="276"/>
      <c r="B78" s="277"/>
      <c r="C78" s="277"/>
      <c r="D78" s="277"/>
      <c r="E78" s="276"/>
    </row>
    <row r="79" spans="1:5">
      <c r="A79" s="197"/>
      <c r="B79" s="276"/>
      <c r="C79" s="276"/>
      <c r="D79" s="276"/>
      <c r="E79" s="276"/>
    </row>
    <row r="80" spans="1:5">
      <c r="A80" s="277"/>
      <c r="B80" s="277"/>
      <c r="C80" s="277"/>
      <c r="D80" s="277"/>
      <c r="E80" s="197"/>
    </row>
    <row r="81" spans="1:5">
      <c r="A81" s="276"/>
      <c r="B81" s="276"/>
      <c r="C81" s="276"/>
      <c r="D81" s="276"/>
      <c r="E81" s="276"/>
    </row>
    <row r="82" spans="1:5">
      <c r="A82" s="276"/>
      <c r="B82" s="277"/>
      <c r="C82" s="277"/>
      <c r="D82" s="277"/>
      <c r="E82" s="197"/>
    </row>
    <row r="83" spans="1:5">
      <c r="A83" s="276"/>
      <c r="B83" s="276"/>
      <c r="C83" s="276"/>
      <c r="D83" s="276"/>
      <c r="E83" s="276"/>
    </row>
    <row r="84" spans="1:5">
      <c r="A84" s="276"/>
      <c r="B84" s="277"/>
      <c r="C84" s="277"/>
      <c r="D84" s="277"/>
      <c r="E84" s="276"/>
    </row>
    <row r="85" spans="1:5">
      <c r="A85" s="276"/>
      <c r="B85" s="277"/>
      <c r="C85" s="277"/>
      <c r="D85" s="277"/>
      <c r="E85" s="276"/>
    </row>
    <row r="86" spans="1:5">
      <c r="A86" s="276"/>
      <c r="B86" s="277"/>
      <c r="C86" s="277"/>
      <c r="D86" s="277"/>
      <c r="E86" s="276"/>
    </row>
    <row r="87" spans="1:5">
      <c r="A87" s="276"/>
      <c r="B87" s="277"/>
      <c r="C87" s="277"/>
      <c r="D87" s="277"/>
      <c r="E87" s="276"/>
    </row>
    <row r="88" spans="1:5">
      <c r="A88" s="277"/>
      <c r="B88" s="277"/>
      <c r="C88" s="277"/>
      <c r="D88" s="277"/>
      <c r="E88" s="276"/>
    </row>
    <row r="89" spans="1:5">
      <c r="A89" s="197"/>
      <c r="B89" s="277"/>
      <c r="C89" s="277"/>
      <c r="D89" s="277"/>
      <c r="E89" s="276"/>
    </row>
    <row r="90" spans="1:5">
      <c r="A90" s="197"/>
      <c r="B90" s="277"/>
      <c r="C90" s="277"/>
      <c r="D90" s="277"/>
      <c r="E90" s="276"/>
    </row>
    <row r="91" spans="1:5">
      <c r="A91" s="197"/>
      <c r="B91" s="276"/>
      <c r="C91" s="276"/>
      <c r="D91" s="276"/>
      <c r="E91" s="276"/>
    </row>
    <row r="92" spans="1:5">
      <c r="A92" s="197"/>
      <c r="B92" s="276"/>
      <c r="C92" s="276"/>
      <c r="D92" s="276"/>
      <c r="E92" s="276"/>
    </row>
    <row r="93" spans="1:5">
      <c r="A93" s="197"/>
      <c r="B93" s="276"/>
      <c r="C93" s="276"/>
      <c r="D93" s="276"/>
      <c r="E93" s="276"/>
    </row>
    <row r="94" spans="1:5">
      <c r="A94" s="276"/>
      <c r="B94" s="277"/>
      <c r="C94" s="277"/>
      <c r="D94" s="277"/>
      <c r="E94" s="276"/>
    </row>
    <row r="95" spans="1:5">
      <c r="A95" s="197"/>
      <c r="B95" s="276"/>
      <c r="C95" s="276"/>
      <c r="D95" s="276"/>
      <c r="E95" s="276"/>
    </row>
    <row r="96" spans="1:5">
      <c r="A96" s="276"/>
      <c r="B96" s="276"/>
      <c r="C96" s="276"/>
      <c r="D96" s="276"/>
      <c r="E96" s="276"/>
    </row>
    <row r="97" spans="1:5">
      <c r="A97" s="276"/>
      <c r="B97" s="277"/>
      <c r="C97" s="277"/>
      <c r="D97" s="277"/>
      <c r="E97" s="276"/>
    </row>
    <row r="98" spans="1:5">
      <c r="A98" s="202"/>
      <c r="B98" s="276"/>
      <c r="C98" s="276"/>
      <c r="D98" s="276"/>
      <c r="E98" s="276"/>
    </row>
    <row r="99" spans="1:5">
      <c r="A99" s="276"/>
      <c r="B99" s="277"/>
      <c r="C99" s="277"/>
      <c r="D99" s="277"/>
      <c r="E99" s="27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310"/>
  <sheetViews>
    <sheetView tabSelected="1" topLeftCell="A212" zoomScale="90" zoomScaleNormal="90" workbookViewId="0">
      <selection activeCell="H294" sqref="H294"/>
    </sheetView>
  </sheetViews>
  <sheetFormatPr defaultRowHeight="15" customHeight="1"/>
  <cols>
    <col min="1" max="1" width="8" customWidth="1"/>
    <col min="2" max="2" width="12.85546875" style="1" customWidth="1"/>
    <col min="3" max="3" width="16.28515625" style="1" customWidth="1"/>
    <col min="4" max="4" width="27.28515625" style="1" customWidth="1"/>
    <col min="5" max="5" width="75.42578125" style="170" customWidth="1"/>
    <col min="6" max="6" width="26.42578125" style="244" customWidth="1"/>
    <col min="7" max="7" width="13.7109375" style="240" customWidth="1"/>
    <col min="8" max="8" width="14.28515625" style="244" customWidth="1"/>
    <col min="9" max="9" width="61.85546875" customWidth="1"/>
    <col min="10" max="10" width="45.42578125" style="1" customWidth="1"/>
    <col min="11" max="11" width="24.7109375" customWidth="1"/>
    <col min="12" max="12" width="13" style="244" customWidth="1"/>
    <col min="13" max="13" width="12.5703125" style="241" bestFit="1" customWidth="1"/>
    <col min="14" max="14" width="12.85546875" style="245" bestFit="1" customWidth="1"/>
    <col min="15" max="15" width="23.140625" style="240" customWidth="1"/>
    <col min="16" max="16" width="18.7109375" style="240" customWidth="1"/>
    <col min="17" max="17" width="13.5703125" style="240" customWidth="1"/>
    <col min="18" max="18" width="40.5703125" style="246" customWidth="1"/>
    <col min="19" max="19" width="19.7109375" style="240" customWidth="1"/>
    <col min="20" max="20" width="11.42578125" style="240" customWidth="1"/>
    <col min="21" max="21" width="12.7109375" style="240" customWidth="1"/>
    <col min="22" max="22" width="6.7109375" style="240" customWidth="1"/>
    <col min="23" max="23" width="5" style="240" customWidth="1"/>
    <col min="24" max="24" width="6" style="240" customWidth="1"/>
    <col min="25" max="25" width="4.28515625" style="240" customWidth="1"/>
    <col min="26" max="26" width="12.7109375" customWidth="1"/>
    <col min="27" max="27" width="3.85546875" customWidth="1"/>
    <col min="28" max="28" width="5.28515625" customWidth="1"/>
    <col min="29" max="29" width="17.85546875" customWidth="1"/>
    <col min="30" max="30" width="13.28515625" customWidth="1"/>
    <col min="31" max="31" width="7.28515625" customWidth="1"/>
    <col min="32" max="32" width="16.140625" bestFit="1" customWidth="1"/>
    <col min="33" max="33" width="4.85546875" customWidth="1"/>
    <col min="34" max="34" width="8.140625" customWidth="1"/>
    <col min="35" max="35" width="6.7109375" customWidth="1"/>
    <col min="36" max="36" width="8.5703125" customWidth="1"/>
    <col min="37" max="37" width="11.28515625" customWidth="1"/>
    <col min="38" max="38" width="9.85546875" customWidth="1"/>
    <col min="39" max="39" width="9.42578125" customWidth="1"/>
    <col min="40" max="40" width="10.5703125" customWidth="1"/>
    <col min="41" max="41" width="8.7109375" customWidth="1"/>
    <col min="42" max="42" width="8.140625" customWidth="1"/>
    <col min="43" max="43" width="22.140625" customWidth="1"/>
    <col min="44" max="44" width="25.42578125" customWidth="1"/>
    <col min="45" max="45" width="26.7109375" customWidth="1"/>
    <col min="46" max="46" width="10.28515625" bestFit="1" customWidth="1"/>
    <col min="47" max="47" width="96.28515625" style="29" customWidth="1"/>
    <col min="48" max="48" width="66.42578125" customWidth="1"/>
    <col min="49" max="49" width="22.85546875" customWidth="1"/>
  </cols>
  <sheetData>
    <row r="1" spans="1:49" s="4" customFormat="1" ht="52.5" customHeight="1">
      <c r="A1" s="3" t="s">
        <v>123</v>
      </c>
      <c r="B1" s="3" t="s">
        <v>124</v>
      </c>
      <c r="C1" s="5" t="s">
        <v>125</v>
      </c>
      <c r="D1" s="5" t="s">
        <v>126</v>
      </c>
      <c r="E1" s="3" t="s">
        <v>105</v>
      </c>
      <c r="F1" s="196" t="s">
        <v>106</v>
      </c>
      <c r="G1" s="196" t="s">
        <v>107</v>
      </c>
      <c r="H1" s="196" t="s">
        <v>127</v>
      </c>
      <c r="I1" s="226" t="s">
        <v>128</v>
      </c>
      <c r="J1" s="3" t="s">
        <v>129</v>
      </c>
      <c r="K1" s="5" t="s">
        <v>130</v>
      </c>
      <c r="L1" s="196" t="s">
        <v>131</v>
      </c>
      <c r="M1" s="186" t="s">
        <v>132</v>
      </c>
      <c r="N1" s="186" t="s">
        <v>133</v>
      </c>
      <c r="O1" s="220" t="s">
        <v>134</v>
      </c>
      <c r="P1" s="196" t="s">
        <v>135</v>
      </c>
      <c r="Q1" s="196" t="s">
        <v>136</v>
      </c>
      <c r="R1" s="185" t="s">
        <v>137</v>
      </c>
      <c r="S1" s="196" t="s">
        <v>138</v>
      </c>
      <c r="T1" s="224" t="s">
        <v>139</v>
      </c>
      <c r="U1" s="224" t="s">
        <v>140</v>
      </c>
      <c r="V1" s="224" t="s">
        <v>141</v>
      </c>
      <c r="W1" s="224" t="s">
        <v>142</v>
      </c>
      <c r="X1" s="224" t="s">
        <v>143</v>
      </c>
      <c r="Y1" s="224" t="s">
        <v>144</v>
      </c>
      <c r="Z1" s="225" t="s">
        <v>145</v>
      </c>
      <c r="AA1" s="225" t="s">
        <v>146</v>
      </c>
      <c r="AB1" s="225" t="s">
        <v>147</v>
      </c>
      <c r="AC1" s="225" t="s">
        <v>148</v>
      </c>
      <c r="AD1" s="225" t="s">
        <v>149</v>
      </c>
      <c r="AE1" s="225" t="s">
        <v>150</v>
      </c>
      <c r="AF1" s="225" t="s">
        <v>151</v>
      </c>
      <c r="AG1" s="225" t="s">
        <v>152</v>
      </c>
      <c r="AH1" s="225" t="s">
        <v>153</v>
      </c>
      <c r="AI1" s="225" t="s">
        <v>154</v>
      </c>
      <c r="AJ1" s="225" t="s">
        <v>155</v>
      </c>
      <c r="AK1" s="225" t="s">
        <v>156</v>
      </c>
      <c r="AL1" s="225" t="s">
        <v>157</v>
      </c>
      <c r="AM1" s="225" t="s">
        <v>158</v>
      </c>
      <c r="AN1" s="225" t="s">
        <v>159</v>
      </c>
      <c r="AO1" s="225" t="s">
        <v>160</v>
      </c>
      <c r="AP1" s="225" t="s">
        <v>161</v>
      </c>
      <c r="AQ1" s="225" t="s">
        <v>162</v>
      </c>
      <c r="AR1" s="221" t="s">
        <v>163</v>
      </c>
      <c r="AS1" s="222" t="s">
        <v>164</v>
      </c>
      <c r="AT1" s="221" t="s">
        <v>165</v>
      </c>
      <c r="AU1" s="223" t="s">
        <v>166</v>
      </c>
      <c r="AV1" s="223" t="s">
        <v>167</v>
      </c>
      <c r="AW1" s="4" t="s">
        <v>168</v>
      </c>
    </row>
    <row r="2" spans="1:49" ht="15.75" customHeight="1">
      <c r="A2" s="236" t="s">
        <v>169</v>
      </c>
      <c r="B2" s="198">
        <v>158</v>
      </c>
      <c r="C2" s="198" t="s">
        <v>170</v>
      </c>
      <c r="D2" s="236"/>
      <c r="E2" s="236" t="s">
        <v>171</v>
      </c>
      <c r="F2" s="276" t="s">
        <v>172</v>
      </c>
      <c r="G2" s="276" t="s">
        <v>173</v>
      </c>
      <c r="H2" s="198" t="s">
        <v>174</v>
      </c>
      <c r="I2" s="236" t="s">
        <v>175</v>
      </c>
      <c r="J2" s="236" t="s">
        <v>176</v>
      </c>
      <c r="K2" s="237" t="s">
        <v>177</v>
      </c>
      <c r="L2" s="277" t="s">
        <v>178</v>
      </c>
      <c r="M2" s="276">
        <v>1959</v>
      </c>
      <c r="N2" s="236">
        <v>1972</v>
      </c>
      <c r="O2" s="276" t="s">
        <v>179</v>
      </c>
      <c r="P2" s="276" t="s">
        <v>180</v>
      </c>
      <c r="Q2" s="236" t="s">
        <v>121</v>
      </c>
      <c r="R2" s="238" t="s">
        <v>181</v>
      </c>
      <c r="S2" s="236">
        <v>1</v>
      </c>
      <c r="T2" s="237">
        <v>13148</v>
      </c>
      <c r="U2" s="237">
        <v>13148</v>
      </c>
      <c r="V2" s="236"/>
      <c r="W2" s="236">
        <v>0</v>
      </c>
      <c r="X2" s="236">
        <v>0</v>
      </c>
      <c r="Y2" s="236">
        <v>0</v>
      </c>
      <c r="Z2" s="237">
        <v>13148</v>
      </c>
      <c r="AA2" s="236">
        <v>0</v>
      </c>
      <c r="AB2" s="236">
        <v>0</v>
      </c>
      <c r="AC2" s="236">
        <v>0</v>
      </c>
      <c r="AD2" s="236" t="s">
        <v>145</v>
      </c>
      <c r="AE2" s="236">
        <v>0</v>
      </c>
      <c r="AF2" s="236" t="s">
        <v>182</v>
      </c>
      <c r="AG2" s="236">
        <v>1</v>
      </c>
      <c r="AH2" s="236">
        <v>0</v>
      </c>
      <c r="AI2" s="236"/>
      <c r="AJ2" s="236">
        <v>0</v>
      </c>
      <c r="AK2" s="236">
        <v>0</v>
      </c>
      <c r="AL2" s="236">
        <v>0</v>
      </c>
      <c r="AM2" s="236" t="s">
        <v>183</v>
      </c>
      <c r="AN2" s="236"/>
      <c r="AO2" s="236"/>
      <c r="AP2" s="236"/>
      <c r="AQ2" s="236">
        <v>71</v>
      </c>
      <c r="AR2" s="236" t="s">
        <v>184</v>
      </c>
      <c r="AS2" s="236" t="s">
        <v>185</v>
      </c>
      <c r="AT2" s="236" t="s">
        <v>180</v>
      </c>
      <c r="AU2" s="236"/>
      <c r="AV2" s="236"/>
      <c r="AW2" s="239"/>
    </row>
    <row r="3" spans="1:49" ht="28.5" customHeight="1">
      <c r="A3" s="236" t="s">
        <v>169</v>
      </c>
      <c r="B3" s="198">
        <v>165</v>
      </c>
      <c r="C3" s="198" t="s">
        <v>186</v>
      </c>
      <c r="D3" s="236"/>
      <c r="E3" s="236" t="s">
        <v>187</v>
      </c>
      <c r="F3" s="276" t="s">
        <v>172</v>
      </c>
      <c r="G3" s="276" t="s">
        <v>173</v>
      </c>
      <c r="H3" s="198" t="s">
        <v>174</v>
      </c>
      <c r="I3" s="236" t="s">
        <v>188</v>
      </c>
      <c r="J3" s="238" t="s">
        <v>189</v>
      </c>
      <c r="K3" s="211">
        <v>49800</v>
      </c>
      <c r="L3" s="277" t="s">
        <v>190</v>
      </c>
      <c r="M3" s="276">
        <v>1961</v>
      </c>
      <c r="N3" s="236">
        <v>2016</v>
      </c>
      <c r="O3" s="236" t="s">
        <v>191</v>
      </c>
      <c r="P3" s="276" t="s">
        <v>192</v>
      </c>
      <c r="Q3" s="236" t="s">
        <v>121</v>
      </c>
      <c r="R3" s="238" t="s">
        <v>181</v>
      </c>
      <c r="S3" s="236">
        <v>1</v>
      </c>
      <c r="T3" s="237">
        <v>49672</v>
      </c>
      <c r="U3" s="237">
        <v>49672</v>
      </c>
      <c r="V3" s="236"/>
      <c r="W3" s="236">
        <v>0</v>
      </c>
      <c r="X3" s="236">
        <v>0</v>
      </c>
      <c r="Y3" s="236">
        <v>0</v>
      </c>
      <c r="Z3" s="237">
        <v>49672</v>
      </c>
      <c r="AA3" s="236">
        <v>0</v>
      </c>
      <c r="AB3" s="236">
        <v>0</v>
      </c>
      <c r="AC3" s="236">
        <v>0</v>
      </c>
      <c r="AD3" s="236" t="s">
        <v>145</v>
      </c>
      <c r="AE3" s="236">
        <v>0</v>
      </c>
      <c r="AF3" s="236" t="s">
        <v>182</v>
      </c>
      <c r="AG3" s="236">
        <v>1</v>
      </c>
      <c r="AH3" s="236">
        <v>0</v>
      </c>
      <c r="AI3" s="236"/>
      <c r="AJ3" s="236">
        <v>0</v>
      </c>
      <c r="AK3" s="236">
        <v>0</v>
      </c>
      <c r="AL3" s="236">
        <v>0</v>
      </c>
      <c r="AM3" s="236"/>
      <c r="AN3" s="236"/>
      <c r="AO3" s="236"/>
      <c r="AP3" s="236"/>
      <c r="AQ3" s="236">
        <v>66</v>
      </c>
      <c r="AR3" s="236" t="s">
        <v>193</v>
      </c>
      <c r="AS3" s="236" t="s">
        <v>193</v>
      </c>
      <c r="AT3" s="236" t="s">
        <v>180</v>
      </c>
      <c r="AU3" s="236"/>
      <c r="AV3" s="236"/>
      <c r="AW3" s="236"/>
    </row>
    <row r="4" spans="1:49" s="240" customFormat="1" ht="93.75" customHeight="1">
      <c r="A4" s="276" t="s">
        <v>169</v>
      </c>
      <c r="B4" s="236">
        <v>3398</v>
      </c>
      <c r="C4" s="236" t="s">
        <v>194</v>
      </c>
      <c r="D4" s="277" t="s">
        <v>195</v>
      </c>
      <c r="E4" s="197" t="s">
        <v>196</v>
      </c>
      <c r="F4" s="276" t="s">
        <v>172</v>
      </c>
      <c r="G4" s="276" t="s">
        <v>116</v>
      </c>
      <c r="H4" s="236" t="s">
        <v>174</v>
      </c>
      <c r="I4" s="277" t="s">
        <v>197</v>
      </c>
      <c r="J4" s="236" t="s">
        <v>198</v>
      </c>
      <c r="K4" s="276">
        <v>546</v>
      </c>
      <c r="L4" s="277" t="s">
        <v>190</v>
      </c>
      <c r="M4" s="276">
        <v>1961</v>
      </c>
      <c r="N4" s="276">
        <v>2015</v>
      </c>
      <c r="O4" s="236" t="s">
        <v>193</v>
      </c>
      <c r="P4" s="236" t="s">
        <v>199</v>
      </c>
      <c r="Q4" s="236" t="s">
        <v>199</v>
      </c>
      <c r="R4" s="277" t="s">
        <v>200</v>
      </c>
      <c r="S4" s="236">
        <v>0</v>
      </c>
      <c r="T4" s="236">
        <v>546</v>
      </c>
      <c r="U4" s="236">
        <v>546</v>
      </c>
      <c r="V4" s="236"/>
      <c r="W4" s="236">
        <v>0</v>
      </c>
      <c r="X4" s="236">
        <v>0</v>
      </c>
      <c r="Y4" s="236">
        <v>0</v>
      </c>
      <c r="Z4" s="236">
        <v>546</v>
      </c>
      <c r="AA4" s="236">
        <v>0</v>
      </c>
      <c r="AB4" s="236">
        <v>0</v>
      </c>
      <c r="AC4" s="236">
        <v>0</v>
      </c>
      <c r="AD4" s="236" t="s">
        <v>145</v>
      </c>
      <c r="AE4" s="236">
        <v>0</v>
      </c>
      <c r="AF4" s="236" t="s">
        <v>182</v>
      </c>
      <c r="AG4" s="236">
        <v>1</v>
      </c>
      <c r="AH4" s="236">
        <v>0</v>
      </c>
      <c r="AI4" s="236"/>
      <c r="AJ4" s="236">
        <v>0</v>
      </c>
      <c r="AK4" s="236">
        <v>0</v>
      </c>
      <c r="AL4" s="236">
        <v>0</v>
      </c>
      <c r="AM4" s="236"/>
      <c r="AN4" s="236"/>
      <c r="AO4" s="236"/>
      <c r="AP4" s="236"/>
      <c r="AQ4" s="236">
        <v>555682434</v>
      </c>
      <c r="AR4" s="276"/>
      <c r="AS4" s="276"/>
      <c r="AT4" s="276" t="s">
        <v>180</v>
      </c>
      <c r="AU4" s="247" t="s">
        <v>201</v>
      </c>
      <c r="AV4" s="248" t="s">
        <v>202</v>
      </c>
      <c r="AW4" s="236"/>
    </row>
    <row r="5" spans="1:49" ht="30.75">
      <c r="A5" s="236" t="s">
        <v>169</v>
      </c>
      <c r="B5" s="198">
        <v>78</v>
      </c>
      <c r="C5" s="198" t="s">
        <v>203</v>
      </c>
      <c r="D5" s="236"/>
      <c r="E5" s="236" t="s">
        <v>204</v>
      </c>
      <c r="F5" s="276" t="s">
        <v>33</v>
      </c>
      <c r="G5" s="276" t="s">
        <v>173</v>
      </c>
      <c r="H5" s="198" t="s">
        <v>205</v>
      </c>
      <c r="I5" s="236" t="s">
        <v>206</v>
      </c>
      <c r="J5" s="236" t="s">
        <v>207</v>
      </c>
      <c r="K5" s="211">
        <v>706.54</v>
      </c>
      <c r="L5" s="277" t="s">
        <v>190</v>
      </c>
      <c r="M5" s="276">
        <v>1968</v>
      </c>
      <c r="N5" s="236">
        <v>1968</v>
      </c>
      <c r="O5" s="236" t="s">
        <v>193</v>
      </c>
      <c r="P5" s="276" t="s">
        <v>180</v>
      </c>
      <c r="Q5" s="236" t="s">
        <v>199</v>
      </c>
      <c r="R5" s="238" t="s">
        <v>181</v>
      </c>
      <c r="S5" s="236">
        <v>1</v>
      </c>
      <c r="T5" s="236">
        <v>707</v>
      </c>
      <c r="U5" s="236">
        <v>707</v>
      </c>
      <c r="V5" s="236"/>
      <c r="W5" s="236">
        <v>0</v>
      </c>
      <c r="X5" s="236">
        <v>0</v>
      </c>
      <c r="Y5" s="236">
        <v>0</v>
      </c>
      <c r="Z5" s="236">
        <v>707</v>
      </c>
      <c r="AA5" s="236">
        <v>0</v>
      </c>
      <c r="AB5" s="236">
        <v>0</v>
      </c>
      <c r="AC5" s="236">
        <v>0</v>
      </c>
      <c r="AD5" s="236" t="s">
        <v>145</v>
      </c>
      <c r="AE5" s="236">
        <v>0</v>
      </c>
      <c r="AF5" s="236" t="s">
        <v>208</v>
      </c>
      <c r="AG5" s="236">
        <v>0</v>
      </c>
      <c r="AH5" s="236">
        <v>1</v>
      </c>
      <c r="AI5" s="236"/>
      <c r="AJ5" s="236">
        <v>0</v>
      </c>
      <c r="AK5" s="236">
        <v>0</v>
      </c>
      <c r="AL5" s="236">
        <v>0</v>
      </c>
      <c r="AM5" s="236"/>
      <c r="AN5" s="236"/>
      <c r="AO5" s="236"/>
      <c r="AP5" s="236"/>
      <c r="AQ5" s="236">
        <v>10809</v>
      </c>
      <c r="AR5" s="236" t="s">
        <v>193</v>
      </c>
      <c r="AS5" s="249" t="s">
        <v>209</v>
      </c>
      <c r="AT5" s="236" t="s">
        <v>180</v>
      </c>
      <c r="AU5" s="236"/>
      <c r="AV5" s="236"/>
      <c r="AW5" s="236"/>
    </row>
    <row r="6" spans="1:49" ht="30.75">
      <c r="A6" s="236" t="s">
        <v>169</v>
      </c>
      <c r="B6" s="198">
        <v>80</v>
      </c>
      <c r="C6" s="198" t="s">
        <v>210</v>
      </c>
      <c r="D6" s="236"/>
      <c r="E6" s="236" t="s">
        <v>211</v>
      </c>
      <c r="F6" s="276" t="s">
        <v>33</v>
      </c>
      <c r="G6" s="276" t="s">
        <v>173</v>
      </c>
      <c r="H6" s="198" t="s">
        <v>205</v>
      </c>
      <c r="I6" s="236" t="s">
        <v>206</v>
      </c>
      <c r="J6" s="236" t="s">
        <v>212</v>
      </c>
      <c r="K6" s="211">
        <v>1604.36</v>
      </c>
      <c r="L6" s="277" t="s">
        <v>190</v>
      </c>
      <c r="M6" s="276">
        <v>1968</v>
      </c>
      <c r="N6" s="236">
        <v>1968</v>
      </c>
      <c r="O6" s="236" t="s">
        <v>193</v>
      </c>
      <c r="P6" s="276" t="s">
        <v>180</v>
      </c>
      <c r="Q6" s="236" t="s">
        <v>121</v>
      </c>
      <c r="R6" s="238" t="s">
        <v>181</v>
      </c>
      <c r="S6" s="236">
        <v>1</v>
      </c>
      <c r="T6" s="237">
        <v>1604</v>
      </c>
      <c r="U6" s="237">
        <v>1604</v>
      </c>
      <c r="V6" s="236"/>
      <c r="W6" s="236">
        <v>0</v>
      </c>
      <c r="X6" s="236">
        <v>0</v>
      </c>
      <c r="Y6" s="236">
        <v>0</v>
      </c>
      <c r="Z6" s="237">
        <v>1604</v>
      </c>
      <c r="AA6" s="236">
        <v>0</v>
      </c>
      <c r="AB6" s="236">
        <v>0</v>
      </c>
      <c r="AC6" s="236">
        <v>0</v>
      </c>
      <c r="AD6" s="236" t="s">
        <v>145</v>
      </c>
      <c r="AE6" s="236">
        <v>0</v>
      </c>
      <c r="AF6" s="236" t="s">
        <v>208</v>
      </c>
      <c r="AG6" s="236">
        <v>0</v>
      </c>
      <c r="AH6" s="236">
        <v>1</v>
      </c>
      <c r="AI6" s="236"/>
      <c r="AJ6" s="236">
        <v>0</v>
      </c>
      <c r="AK6" s="236">
        <v>0</v>
      </c>
      <c r="AL6" s="236">
        <v>0</v>
      </c>
      <c r="AM6" s="236"/>
      <c r="AN6" s="236"/>
      <c r="AO6" s="236"/>
      <c r="AP6" s="236"/>
      <c r="AQ6" s="236">
        <v>351717</v>
      </c>
      <c r="AR6" s="236" t="s">
        <v>213</v>
      </c>
      <c r="AS6" s="236" t="s">
        <v>214</v>
      </c>
      <c r="AT6" s="236" t="s">
        <v>180</v>
      </c>
      <c r="AU6" s="236"/>
      <c r="AV6" s="236"/>
      <c r="AW6" s="236"/>
    </row>
    <row r="7" spans="1:49" ht="30.75">
      <c r="A7" s="236" t="s">
        <v>169</v>
      </c>
      <c r="B7" s="198">
        <v>134</v>
      </c>
      <c r="C7" s="198" t="s">
        <v>215</v>
      </c>
      <c r="D7" s="236"/>
      <c r="E7" s="236" t="s">
        <v>216</v>
      </c>
      <c r="F7" s="276" t="s">
        <v>33</v>
      </c>
      <c r="G7" s="276" t="s">
        <v>173</v>
      </c>
      <c r="H7" s="198" t="s">
        <v>205</v>
      </c>
      <c r="I7" s="236" t="s">
        <v>206</v>
      </c>
      <c r="J7" s="236" t="s">
        <v>217</v>
      </c>
      <c r="K7" s="211">
        <v>4385.3599999999997</v>
      </c>
      <c r="L7" s="277" t="s">
        <v>190</v>
      </c>
      <c r="M7" s="276">
        <v>1968</v>
      </c>
      <c r="N7" s="236">
        <v>1968</v>
      </c>
      <c r="O7" s="236" t="s">
        <v>193</v>
      </c>
      <c r="P7" s="276" t="s">
        <v>192</v>
      </c>
      <c r="Q7" s="236" t="s">
        <v>121</v>
      </c>
      <c r="R7" s="238" t="s">
        <v>181</v>
      </c>
      <c r="S7" s="236">
        <v>1</v>
      </c>
      <c r="T7" s="237">
        <v>4385</v>
      </c>
      <c r="U7" s="237">
        <v>4385</v>
      </c>
      <c r="V7" s="236"/>
      <c r="W7" s="236">
        <v>0</v>
      </c>
      <c r="X7" s="236">
        <v>0</v>
      </c>
      <c r="Y7" s="236">
        <v>0</v>
      </c>
      <c r="Z7" s="237">
        <v>4385</v>
      </c>
      <c r="AA7" s="236">
        <v>0</v>
      </c>
      <c r="AB7" s="236">
        <v>0</v>
      </c>
      <c r="AC7" s="236">
        <v>0</v>
      </c>
      <c r="AD7" s="236" t="s">
        <v>145</v>
      </c>
      <c r="AE7" s="236">
        <v>0</v>
      </c>
      <c r="AF7" s="236" t="s">
        <v>208</v>
      </c>
      <c r="AG7" s="236">
        <v>0</v>
      </c>
      <c r="AH7" s="236">
        <v>1</v>
      </c>
      <c r="AI7" s="236"/>
      <c r="AJ7" s="236">
        <v>0</v>
      </c>
      <c r="AK7" s="236">
        <v>0</v>
      </c>
      <c r="AL7" s="236">
        <v>0</v>
      </c>
      <c r="AM7" s="236"/>
      <c r="AN7" s="236"/>
      <c r="AO7" s="236"/>
      <c r="AP7" s="236"/>
      <c r="AQ7" s="236">
        <v>10808</v>
      </c>
      <c r="AR7" s="236" t="s">
        <v>193</v>
      </c>
      <c r="AS7" s="236" t="s">
        <v>193</v>
      </c>
      <c r="AT7" s="236" t="s">
        <v>180</v>
      </c>
      <c r="AU7" s="236"/>
      <c r="AV7" s="236"/>
      <c r="AW7" s="236"/>
    </row>
    <row r="8" spans="1:49" s="240" customFormat="1" ht="60.75">
      <c r="A8" s="276" t="s">
        <v>169</v>
      </c>
      <c r="B8" s="198">
        <v>786</v>
      </c>
      <c r="C8" s="198" t="s">
        <v>218</v>
      </c>
      <c r="D8" s="276"/>
      <c r="E8" s="276" t="s">
        <v>219</v>
      </c>
      <c r="F8" s="276" t="s">
        <v>172</v>
      </c>
      <c r="G8" s="197" t="s">
        <v>220</v>
      </c>
      <c r="H8" s="198" t="s">
        <v>174</v>
      </c>
      <c r="I8" s="276" t="s">
        <v>221</v>
      </c>
      <c r="J8" s="238" t="s">
        <v>222</v>
      </c>
      <c r="K8" s="211">
        <v>90000</v>
      </c>
      <c r="L8" s="277" t="s">
        <v>190</v>
      </c>
      <c r="M8" s="276">
        <v>1975</v>
      </c>
      <c r="N8" s="236">
        <v>2009</v>
      </c>
      <c r="O8" s="276" t="s">
        <v>223</v>
      </c>
      <c r="P8" s="276" t="s">
        <v>180</v>
      </c>
      <c r="Q8" s="236" t="s">
        <v>199</v>
      </c>
      <c r="R8" s="238" t="s">
        <v>224</v>
      </c>
      <c r="S8" s="236">
        <v>1</v>
      </c>
      <c r="T8" s="237">
        <v>83909</v>
      </c>
      <c r="U8" s="237">
        <v>83822</v>
      </c>
      <c r="V8" s="236"/>
      <c r="W8" s="236">
        <v>0</v>
      </c>
      <c r="X8" s="236">
        <v>0</v>
      </c>
      <c r="Y8" s="236">
        <v>0</v>
      </c>
      <c r="Z8" s="237">
        <v>83822</v>
      </c>
      <c r="AA8" s="236">
        <v>0</v>
      </c>
      <c r="AB8" s="236">
        <v>0</v>
      </c>
      <c r="AC8" s="236">
        <v>87</v>
      </c>
      <c r="AD8" s="236" t="s">
        <v>145</v>
      </c>
      <c r="AE8" s="236">
        <v>1.034278E-3</v>
      </c>
      <c r="AF8" s="236" t="s">
        <v>182</v>
      </c>
      <c r="AG8" s="236">
        <v>1</v>
      </c>
      <c r="AH8" s="236">
        <v>0</v>
      </c>
      <c r="AI8" s="236"/>
      <c r="AJ8" s="236">
        <v>1</v>
      </c>
      <c r="AK8" s="236">
        <v>1</v>
      </c>
      <c r="AL8" s="236">
        <v>1</v>
      </c>
      <c r="AM8" s="236"/>
      <c r="AN8" s="236"/>
      <c r="AO8" s="236"/>
      <c r="AP8" s="236"/>
      <c r="AQ8" s="236">
        <v>16081</v>
      </c>
      <c r="AR8" s="276" t="s">
        <v>225</v>
      </c>
      <c r="AS8" s="276"/>
      <c r="AT8" s="276" t="s">
        <v>180</v>
      </c>
      <c r="AU8" s="250" t="s">
        <v>226</v>
      </c>
      <c r="AV8" s="276"/>
      <c r="AW8" s="236"/>
    </row>
    <row r="9" spans="1:49" s="240" customFormat="1">
      <c r="A9" s="276" t="s">
        <v>169</v>
      </c>
      <c r="B9" s="198">
        <v>1830</v>
      </c>
      <c r="C9" s="198" t="s">
        <v>227</v>
      </c>
      <c r="D9" s="276"/>
      <c r="E9" s="276" t="s">
        <v>228</v>
      </c>
      <c r="F9" s="276" t="s">
        <v>229</v>
      </c>
      <c r="G9" s="197" t="s">
        <v>220</v>
      </c>
      <c r="H9" s="198" t="s">
        <v>230</v>
      </c>
      <c r="I9" s="276" t="s">
        <v>231</v>
      </c>
      <c r="J9" s="236" t="s">
        <v>232</v>
      </c>
      <c r="K9" s="276">
        <v>5237</v>
      </c>
      <c r="L9" s="277" t="s">
        <v>190</v>
      </c>
      <c r="M9" s="276">
        <v>1977</v>
      </c>
      <c r="N9" s="276">
        <v>1977</v>
      </c>
      <c r="O9" s="212" t="s">
        <v>193</v>
      </c>
      <c r="P9" s="276" t="s">
        <v>180</v>
      </c>
      <c r="Q9" s="276" t="s">
        <v>180</v>
      </c>
      <c r="R9" s="236" t="s">
        <v>224</v>
      </c>
      <c r="S9" s="236">
        <v>1</v>
      </c>
      <c r="T9" s="237">
        <v>5067</v>
      </c>
      <c r="U9" s="237">
        <v>5067</v>
      </c>
      <c r="V9" s="236"/>
      <c r="W9" s="236">
        <v>0</v>
      </c>
      <c r="X9" s="236">
        <v>0</v>
      </c>
      <c r="Y9" s="236">
        <v>0</v>
      </c>
      <c r="Z9" s="237">
        <v>5067</v>
      </c>
      <c r="AA9" s="236">
        <v>0</v>
      </c>
      <c r="AB9" s="236">
        <v>0</v>
      </c>
      <c r="AC9" s="236">
        <v>0</v>
      </c>
      <c r="AD9" s="236" t="s">
        <v>145</v>
      </c>
      <c r="AE9" s="236">
        <v>0</v>
      </c>
      <c r="AF9" s="236" t="s">
        <v>182</v>
      </c>
      <c r="AG9" s="236">
        <v>1</v>
      </c>
      <c r="AH9" s="236">
        <v>0</v>
      </c>
      <c r="AI9" s="236"/>
      <c r="AJ9" s="236">
        <v>0</v>
      </c>
      <c r="AK9" s="236">
        <v>0</v>
      </c>
      <c r="AL9" s="236">
        <v>0</v>
      </c>
      <c r="AM9" s="236"/>
      <c r="AN9" s="236"/>
      <c r="AO9" s="236"/>
      <c r="AP9" s="236"/>
      <c r="AQ9" s="236">
        <v>478555</v>
      </c>
      <c r="AR9" s="276" t="s">
        <v>233</v>
      </c>
      <c r="AS9" s="276"/>
      <c r="AT9" s="276" t="s">
        <v>180</v>
      </c>
      <c r="AU9" s="250" t="s">
        <v>234</v>
      </c>
      <c r="AV9" s="276"/>
      <c r="AW9" s="236"/>
    </row>
    <row r="10" spans="1:49" s="240" customFormat="1" ht="18.75" customHeight="1">
      <c r="A10" s="276" t="s">
        <v>235</v>
      </c>
      <c r="B10" s="276"/>
      <c r="C10" s="276"/>
      <c r="D10" s="276"/>
      <c r="E10" s="276" t="s">
        <v>236</v>
      </c>
      <c r="F10" s="276" t="s">
        <v>237</v>
      </c>
      <c r="G10" s="197" t="s">
        <v>220</v>
      </c>
      <c r="H10" s="276"/>
      <c r="I10" s="197" t="s">
        <v>238</v>
      </c>
      <c r="J10" s="218" t="s">
        <v>239</v>
      </c>
      <c r="K10" s="276">
        <v>500000</v>
      </c>
      <c r="L10" s="277" t="s">
        <v>190</v>
      </c>
      <c r="M10" s="276">
        <v>2010</v>
      </c>
      <c r="N10" s="276"/>
      <c r="O10" s="197"/>
      <c r="P10" s="276"/>
      <c r="Q10" s="276"/>
      <c r="R10" s="277"/>
      <c r="S10" s="276"/>
      <c r="T10" s="276"/>
      <c r="U10" s="276"/>
      <c r="V10" s="276"/>
      <c r="W10" s="276"/>
      <c r="X10" s="276"/>
      <c r="Y10" s="276"/>
      <c r="Z10" s="276"/>
      <c r="AA10" s="276"/>
      <c r="AB10" s="276"/>
      <c r="AC10" s="276"/>
      <c r="AD10" s="276"/>
      <c r="AE10" s="276"/>
      <c r="AF10" s="276"/>
      <c r="AG10" s="276"/>
      <c r="AH10" s="276"/>
      <c r="AI10" s="276"/>
      <c r="AJ10" s="276"/>
      <c r="AK10" s="276"/>
      <c r="AL10" s="276"/>
      <c r="AM10" s="276"/>
      <c r="AN10" s="276"/>
      <c r="AO10" s="276"/>
      <c r="AP10" s="276"/>
      <c r="AQ10" s="276"/>
      <c r="AR10" s="276"/>
      <c r="AS10" s="276"/>
      <c r="AT10" s="276"/>
      <c r="AU10" s="197"/>
      <c r="AV10" s="276"/>
      <c r="AW10" s="236"/>
    </row>
    <row r="11" spans="1:49" s="240" customFormat="1" ht="30.75">
      <c r="A11" s="276" t="s">
        <v>169</v>
      </c>
      <c r="B11" s="198">
        <v>780</v>
      </c>
      <c r="C11" s="198" t="s">
        <v>240</v>
      </c>
      <c r="D11" s="276"/>
      <c r="E11" s="276" t="s">
        <v>241</v>
      </c>
      <c r="F11" s="276" t="s">
        <v>172</v>
      </c>
      <c r="G11" s="197" t="s">
        <v>220</v>
      </c>
      <c r="H11" s="198" t="s">
        <v>174</v>
      </c>
      <c r="I11" s="276" t="s">
        <v>242</v>
      </c>
      <c r="J11" s="236" t="s">
        <v>243</v>
      </c>
      <c r="K11" s="276">
        <v>1330</v>
      </c>
      <c r="L11" s="277" t="s">
        <v>190</v>
      </c>
      <c r="M11" s="276">
        <v>1980</v>
      </c>
      <c r="N11" s="236">
        <v>1980</v>
      </c>
      <c r="O11" s="236" t="s">
        <v>193</v>
      </c>
      <c r="P11" s="276" t="s">
        <v>180</v>
      </c>
      <c r="Q11" s="236" t="s">
        <v>121</v>
      </c>
      <c r="R11" s="238" t="s">
        <v>224</v>
      </c>
      <c r="S11" s="236">
        <v>1</v>
      </c>
      <c r="T11" s="237">
        <v>1330</v>
      </c>
      <c r="U11" s="237">
        <v>1330</v>
      </c>
      <c r="V11" s="236"/>
      <c r="W11" s="236">
        <v>0</v>
      </c>
      <c r="X11" s="236">
        <v>0</v>
      </c>
      <c r="Y11" s="236">
        <v>0</v>
      </c>
      <c r="Z11" s="237">
        <v>1330</v>
      </c>
      <c r="AA11" s="236">
        <v>0</v>
      </c>
      <c r="AB11" s="236">
        <v>0</v>
      </c>
      <c r="AC11" s="236">
        <v>0</v>
      </c>
      <c r="AD11" s="236" t="s">
        <v>145</v>
      </c>
      <c r="AE11" s="236">
        <v>0</v>
      </c>
      <c r="AF11" s="236" t="s">
        <v>182</v>
      </c>
      <c r="AG11" s="236">
        <v>1</v>
      </c>
      <c r="AH11" s="236">
        <v>0</v>
      </c>
      <c r="AI11" s="236"/>
      <c r="AJ11" s="236">
        <v>0</v>
      </c>
      <c r="AK11" s="236">
        <v>0</v>
      </c>
      <c r="AL11" s="236">
        <v>0</v>
      </c>
      <c r="AM11" s="236"/>
      <c r="AN11" s="236"/>
      <c r="AO11" s="236"/>
      <c r="AP11" s="236"/>
      <c r="AQ11" s="236">
        <v>16078</v>
      </c>
      <c r="AR11" s="276" t="s">
        <v>244</v>
      </c>
      <c r="AS11" s="276"/>
      <c r="AT11" s="276" t="s">
        <v>180</v>
      </c>
      <c r="AU11" s="250" t="s">
        <v>245</v>
      </c>
      <c r="AV11" s="276"/>
      <c r="AW11" s="236"/>
    </row>
    <row r="12" spans="1:49" s="240" customFormat="1">
      <c r="A12" s="276" t="s">
        <v>169</v>
      </c>
      <c r="B12" s="276">
        <v>3926</v>
      </c>
      <c r="C12" s="276" t="s">
        <v>246</v>
      </c>
      <c r="D12" s="276"/>
      <c r="E12" s="276" t="s">
        <v>247</v>
      </c>
      <c r="F12" s="276" t="s">
        <v>229</v>
      </c>
      <c r="G12" s="197" t="s">
        <v>220</v>
      </c>
      <c r="H12" s="198" t="s">
        <v>230</v>
      </c>
      <c r="I12" s="276" t="s">
        <v>248</v>
      </c>
      <c r="J12" s="276" t="s">
        <v>249</v>
      </c>
      <c r="K12" s="276">
        <v>1899</v>
      </c>
      <c r="L12" s="277" t="s">
        <v>190</v>
      </c>
      <c r="M12" s="276">
        <v>1980</v>
      </c>
      <c r="N12" s="276">
        <v>1980</v>
      </c>
      <c r="O12" s="212" t="s">
        <v>193</v>
      </c>
      <c r="P12" s="278"/>
      <c r="Q12" s="278"/>
      <c r="R12" s="236" t="s">
        <v>224</v>
      </c>
      <c r="S12" s="278"/>
      <c r="T12" s="278"/>
      <c r="U12" s="278"/>
      <c r="V12" s="276"/>
      <c r="W12" s="276">
        <v>0</v>
      </c>
      <c r="X12" s="276">
        <v>0</v>
      </c>
      <c r="Y12" s="276">
        <v>0</v>
      </c>
      <c r="Z12" s="276"/>
      <c r="AA12" s="276">
        <v>0</v>
      </c>
      <c r="AB12" s="276">
        <v>0</v>
      </c>
      <c r="AC12" s="276">
        <v>0</v>
      </c>
      <c r="AD12" s="276" t="s">
        <v>145</v>
      </c>
      <c r="AE12" s="276">
        <v>0</v>
      </c>
      <c r="AF12" s="276" t="s">
        <v>182</v>
      </c>
      <c r="AG12" s="276">
        <v>1</v>
      </c>
      <c r="AH12" s="276">
        <v>0</v>
      </c>
      <c r="AI12" s="276"/>
      <c r="AJ12" s="276">
        <v>0</v>
      </c>
      <c r="AK12" s="276">
        <v>0</v>
      </c>
      <c r="AL12" s="276">
        <v>0</v>
      </c>
      <c r="AM12" s="276"/>
      <c r="AN12" s="276"/>
      <c r="AO12" s="276"/>
      <c r="AP12" s="276"/>
      <c r="AQ12" s="278"/>
      <c r="AR12" s="278"/>
      <c r="AS12" s="276"/>
      <c r="AT12" s="276" t="s">
        <v>180</v>
      </c>
      <c r="AU12" s="276"/>
      <c r="AV12" s="276"/>
      <c r="AW12" s="236"/>
    </row>
    <row r="13" spans="1:49" s="240" customFormat="1">
      <c r="A13" s="276" t="s">
        <v>169</v>
      </c>
      <c r="B13" s="198">
        <v>781</v>
      </c>
      <c r="C13" s="198" t="s">
        <v>250</v>
      </c>
      <c r="D13" s="276"/>
      <c r="E13" s="276" t="s">
        <v>251</v>
      </c>
      <c r="F13" s="276" t="s">
        <v>229</v>
      </c>
      <c r="G13" s="197" t="s">
        <v>220</v>
      </c>
      <c r="H13" s="198" t="s">
        <v>230</v>
      </c>
      <c r="I13" s="276" t="s">
        <v>252</v>
      </c>
      <c r="J13" s="236" t="s">
        <v>253</v>
      </c>
      <c r="K13" s="276">
        <v>7672</v>
      </c>
      <c r="L13" s="277" t="s">
        <v>190</v>
      </c>
      <c r="M13" s="276">
        <v>1983</v>
      </c>
      <c r="N13" s="276">
        <v>1983</v>
      </c>
      <c r="O13" s="212" t="s">
        <v>193</v>
      </c>
      <c r="P13" s="276" t="s">
        <v>180</v>
      </c>
      <c r="Q13" s="276" t="s">
        <v>180</v>
      </c>
      <c r="R13" s="236" t="s">
        <v>224</v>
      </c>
      <c r="S13" s="236">
        <v>1</v>
      </c>
      <c r="T13" s="237">
        <v>7854</v>
      </c>
      <c r="U13" s="237">
        <v>7854</v>
      </c>
      <c r="V13" s="236"/>
      <c r="W13" s="236">
        <v>0</v>
      </c>
      <c r="X13" s="236">
        <v>0</v>
      </c>
      <c r="Y13" s="236">
        <v>0</v>
      </c>
      <c r="Z13" s="237">
        <v>7854</v>
      </c>
      <c r="AA13" s="236">
        <v>0</v>
      </c>
      <c r="AB13" s="236">
        <v>0</v>
      </c>
      <c r="AC13" s="236">
        <v>0</v>
      </c>
      <c r="AD13" s="236" t="s">
        <v>145</v>
      </c>
      <c r="AE13" s="236">
        <v>0</v>
      </c>
      <c r="AF13" s="236" t="s">
        <v>182</v>
      </c>
      <c r="AG13" s="236">
        <v>1</v>
      </c>
      <c r="AH13" s="236">
        <v>0</v>
      </c>
      <c r="AI13" s="236"/>
      <c r="AJ13" s="236">
        <v>0</v>
      </c>
      <c r="AK13" s="236">
        <v>0</v>
      </c>
      <c r="AL13" s="236">
        <v>0</v>
      </c>
      <c r="AM13" s="236"/>
      <c r="AN13" s="236"/>
      <c r="AO13" s="236"/>
      <c r="AP13" s="236"/>
      <c r="AQ13" s="236">
        <v>19421</v>
      </c>
      <c r="AR13" s="276" t="s">
        <v>254</v>
      </c>
      <c r="AS13" s="276"/>
      <c r="AT13" s="276" t="s">
        <v>180</v>
      </c>
      <c r="AU13" s="250" t="s">
        <v>255</v>
      </c>
      <c r="AV13" s="276"/>
      <c r="AW13" s="236"/>
    </row>
    <row r="14" spans="1:49" s="240" customFormat="1">
      <c r="A14" s="276" t="s">
        <v>235</v>
      </c>
      <c r="B14" s="276"/>
      <c r="C14" s="276"/>
      <c r="D14" s="276"/>
      <c r="E14" s="276" t="s">
        <v>256</v>
      </c>
      <c r="F14" s="277" t="s">
        <v>257</v>
      </c>
      <c r="G14" s="276" t="s">
        <v>116</v>
      </c>
      <c r="H14" s="198" t="s">
        <v>258</v>
      </c>
      <c r="I14" s="276" t="s">
        <v>259</v>
      </c>
      <c r="J14" s="276" t="s">
        <v>260</v>
      </c>
      <c r="K14" s="276"/>
      <c r="L14" s="277" t="s">
        <v>190</v>
      </c>
      <c r="M14" s="276">
        <v>2004</v>
      </c>
      <c r="N14" s="276"/>
      <c r="O14" s="276"/>
      <c r="P14" s="276"/>
      <c r="Q14" s="276"/>
      <c r="R14" s="277"/>
      <c r="S14" s="276"/>
      <c r="T14" s="276"/>
      <c r="U14" s="276"/>
      <c r="V14" s="276"/>
      <c r="W14" s="276"/>
      <c r="X14" s="276"/>
      <c r="Y14" s="276"/>
      <c r="Z14" s="276"/>
      <c r="AA14" s="276"/>
      <c r="AB14" s="276"/>
      <c r="AC14" s="276"/>
      <c r="AD14" s="276"/>
      <c r="AE14" s="276"/>
      <c r="AF14" s="276"/>
      <c r="AG14" s="276"/>
      <c r="AH14" s="276"/>
      <c r="AI14" s="276"/>
      <c r="AJ14" s="276"/>
      <c r="AK14" s="276"/>
      <c r="AL14" s="276"/>
      <c r="AM14" s="276"/>
      <c r="AN14" s="276"/>
      <c r="AO14" s="276"/>
      <c r="AP14" s="276"/>
      <c r="AQ14" s="276"/>
      <c r="AR14" s="276"/>
      <c r="AS14" s="276"/>
      <c r="AT14" s="276"/>
      <c r="AU14" s="276"/>
      <c r="AV14" s="276"/>
      <c r="AW14" s="236"/>
    </row>
    <row r="15" spans="1:49" s="240" customFormat="1">
      <c r="A15" s="276" t="s">
        <v>235</v>
      </c>
      <c r="B15" s="276"/>
      <c r="C15" s="276"/>
      <c r="D15" s="276"/>
      <c r="E15" s="276" t="s">
        <v>261</v>
      </c>
      <c r="F15" s="277" t="s">
        <v>257</v>
      </c>
      <c r="G15" s="276" t="s">
        <v>116</v>
      </c>
      <c r="H15" s="198" t="s">
        <v>258</v>
      </c>
      <c r="I15" s="276" t="s">
        <v>262</v>
      </c>
      <c r="J15" s="276" t="s">
        <v>260</v>
      </c>
      <c r="K15" s="276">
        <v>3213.7</v>
      </c>
      <c r="L15" s="277" t="s">
        <v>190</v>
      </c>
      <c r="M15" s="276">
        <v>2016</v>
      </c>
      <c r="N15" s="276"/>
      <c r="O15" s="276"/>
      <c r="P15" s="276"/>
      <c r="Q15" s="276"/>
      <c r="R15" s="277"/>
      <c r="S15" s="276"/>
      <c r="T15" s="276"/>
      <c r="U15" s="276"/>
      <c r="V15" s="276"/>
      <c r="W15" s="276"/>
      <c r="X15" s="276"/>
      <c r="Y15" s="276"/>
      <c r="Z15" s="276"/>
      <c r="AA15" s="276"/>
      <c r="AB15" s="276"/>
      <c r="AC15" s="276"/>
      <c r="AD15" s="276"/>
      <c r="AE15" s="276"/>
      <c r="AF15" s="276"/>
      <c r="AG15" s="276"/>
      <c r="AH15" s="276"/>
      <c r="AI15" s="276"/>
      <c r="AJ15" s="276"/>
      <c r="AK15" s="276"/>
      <c r="AL15" s="276"/>
      <c r="AM15" s="276"/>
      <c r="AN15" s="276"/>
      <c r="AO15" s="276"/>
      <c r="AP15" s="276"/>
      <c r="AQ15" s="276"/>
      <c r="AR15" s="276"/>
      <c r="AS15" s="276"/>
      <c r="AT15" s="276" t="s">
        <v>180</v>
      </c>
      <c r="AU15" s="276"/>
      <c r="AV15" s="276"/>
      <c r="AW15" s="236"/>
    </row>
    <row r="16" spans="1:49" ht="30.75">
      <c r="A16" s="236" t="s">
        <v>169</v>
      </c>
      <c r="B16" s="198">
        <v>52</v>
      </c>
      <c r="C16" s="198" t="s">
        <v>263</v>
      </c>
      <c r="D16" s="236"/>
      <c r="E16" s="236" t="s">
        <v>264</v>
      </c>
      <c r="F16" s="276" t="s">
        <v>29</v>
      </c>
      <c r="G16" s="276" t="s">
        <v>173</v>
      </c>
      <c r="H16" s="198" t="s">
        <v>230</v>
      </c>
      <c r="I16" s="236" t="s">
        <v>265</v>
      </c>
      <c r="J16" s="236" t="s">
        <v>266</v>
      </c>
      <c r="K16" s="211">
        <v>759.34</v>
      </c>
      <c r="L16" s="277" t="s">
        <v>190</v>
      </c>
      <c r="M16" s="276">
        <v>1987</v>
      </c>
      <c r="N16" s="236">
        <v>1987</v>
      </c>
      <c r="O16" s="236" t="s">
        <v>193</v>
      </c>
      <c r="P16" s="276" t="s">
        <v>180</v>
      </c>
      <c r="Q16" s="236" t="s">
        <v>121</v>
      </c>
      <c r="R16" s="238" t="s">
        <v>181</v>
      </c>
      <c r="S16" s="236">
        <v>1</v>
      </c>
      <c r="T16" s="236">
        <v>729</v>
      </c>
      <c r="U16" s="236">
        <v>712</v>
      </c>
      <c r="V16" s="236">
        <v>0</v>
      </c>
      <c r="W16" s="236">
        <v>0</v>
      </c>
      <c r="X16" s="236">
        <v>0</v>
      </c>
      <c r="Y16" s="236">
        <v>712</v>
      </c>
      <c r="Z16" s="236">
        <v>0</v>
      </c>
      <c r="AA16" s="236">
        <v>0</v>
      </c>
      <c r="AB16" s="236">
        <v>17</v>
      </c>
      <c r="AC16" s="236" t="s">
        <v>145</v>
      </c>
      <c r="AD16" s="276"/>
      <c r="AE16" s="276">
        <v>2.330111E-2</v>
      </c>
      <c r="AF16" s="276" t="s">
        <v>182</v>
      </c>
      <c r="AG16" s="276">
        <v>1</v>
      </c>
      <c r="AH16" s="236">
        <v>0</v>
      </c>
      <c r="AI16" s="236">
        <v>1</v>
      </c>
      <c r="AJ16" s="236">
        <v>1</v>
      </c>
      <c r="AK16" s="236">
        <v>1</v>
      </c>
      <c r="AL16" s="236"/>
      <c r="AM16" s="236"/>
      <c r="AN16" s="236"/>
      <c r="AO16" s="236"/>
      <c r="AP16" s="236">
        <v>10822</v>
      </c>
      <c r="AQ16" s="236"/>
      <c r="AR16" s="236" t="s">
        <v>267</v>
      </c>
      <c r="AS16" s="236" t="s">
        <v>268</v>
      </c>
      <c r="AT16" s="236" t="s">
        <v>180</v>
      </c>
      <c r="AU16" s="236"/>
      <c r="AV16" s="236"/>
      <c r="AW16" s="236"/>
    </row>
    <row r="17" spans="1:49" s="240" customFormat="1">
      <c r="A17" s="276" t="s">
        <v>235</v>
      </c>
      <c r="B17" s="276"/>
      <c r="C17" s="276"/>
      <c r="D17" s="276"/>
      <c r="E17" s="276" t="s">
        <v>269</v>
      </c>
      <c r="F17" s="276" t="s">
        <v>46</v>
      </c>
      <c r="G17" s="276" t="s">
        <v>116</v>
      </c>
      <c r="H17" s="236" t="s">
        <v>270</v>
      </c>
      <c r="I17" s="276" t="s">
        <v>271</v>
      </c>
      <c r="J17" s="276" t="s">
        <v>260</v>
      </c>
      <c r="K17" s="276">
        <v>566.52599999999995</v>
      </c>
      <c r="L17" s="277" t="s">
        <v>190</v>
      </c>
      <c r="M17" s="276">
        <v>2016</v>
      </c>
      <c r="N17" s="276"/>
      <c r="O17" s="276"/>
      <c r="P17" s="276"/>
      <c r="Q17" s="276"/>
      <c r="R17" s="277"/>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36"/>
    </row>
    <row r="18" spans="1:49" ht="30.75">
      <c r="A18" s="236" t="s">
        <v>169</v>
      </c>
      <c r="B18" s="198">
        <v>93</v>
      </c>
      <c r="C18" s="198" t="s">
        <v>272</v>
      </c>
      <c r="D18" s="236"/>
      <c r="E18" s="236" t="s">
        <v>273</v>
      </c>
      <c r="F18" s="276" t="s">
        <v>33</v>
      </c>
      <c r="G18" s="276" t="s">
        <v>173</v>
      </c>
      <c r="H18" s="198" t="s">
        <v>205</v>
      </c>
      <c r="I18" s="236" t="s">
        <v>274</v>
      </c>
      <c r="J18" s="236" t="s">
        <v>275</v>
      </c>
      <c r="K18" s="211">
        <v>570.58000000000004</v>
      </c>
      <c r="L18" s="277" t="s">
        <v>190</v>
      </c>
      <c r="M18" s="276">
        <v>1988</v>
      </c>
      <c r="N18" s="236">
        <v>1988</v>
      </c>
      <c r="O18" s="236" t="s">
        <v>193</v>
      </c>
      <c r="P18" s="276" t="s">
        <v>180</v>
      </c>
      <c r="Q18" s="236" t="s">
        <v>121</v>
      </c>
      <c r="R18" s="238" t="s">
        <v>181</v>
      </c>
      <c r="S18" s="236">
        <v>1</v>
      </c>
      <c r="T18" s="236">
        <v>519</v>
      </c>
      <c r="U18" s="236">
        <v>519</v>
      </c>
      <c r="V18" s="236"/>
      <c r="W18" s="236">
        <v>0</v>
      </c>
      <c r="X18" s="236">
        <v>0</v>
      </c>
      <c r="Y18" s="236">
        <v>0</v>
      </c>
      <c r="Z18" s="236">
        <v>519</v>
      </c>
      <c r="AA18" s="236">
        <v>0</v>
      </c>
      <c r="AB18" s="236">
        <v>0</v>
      </c>
      <c r="AC18" s="236">
        <v>0</v>
      </c>
      <c r="AD18" s="236" t="s">
        <v>145</v>
      </c>
      <c r="AE18" s="236">
        <v>0</v>
      </c>
      <c r="AF18" s="236" t="s">
        <v>208</v>
      </c>
      <c r="AG18" s="236">
        <v>0</v>
      </c>
      <c r="AH18" s="236">
        <v>1</v>
      </c>
      <c r="AI18" s="236"/>
      <c r="AJ18" s="236">
        <v>0</v>
      </c>
      <c r="AK18" s="236">
        <v>0</v>
      </c>
      <c r="AL18" s="236">
        <v>0</v>
      </c>
      <c r="AM18" s="236"/>
      <c r="AN18" s="236"/>
      <c r="AO18" s="236"/>
      <c r="AP18" s="236"/>
      <c r="AQ18" s="236">
        <v>19763</v>
      </c>
      <c r="AR18" s="236" t="s">
        <v>276</v>
      </c>
      <c r="AS18" s="236" t="s">
        <v>277</v>
      </c>
      <c r="AT18" s="236" t="s">
        <v>180</v>
      </c>
      <c r="AU18" s="236"/>
      <c r="AV18" s="236"/>
      <c r="AW18" s="236"/>
    </row>
    <row r="19" spans="1:49" s="240" customFormat="1" ht="15.75" customHeight="1">
      <c r="A19" s="276" t="s">
        <v>235</v>
      </c>
      <c r="B19" s="276"/>
      <c r="C19" s="276"/>
      <c r="D19" s="276"/>
      <c r="E19" s="276" t="s">
        <v>278</v>
      </c>
      <c r="F19" s="276" t="s">
        <v>279</v>
      </c>
      <c r="G19" s="276" t="s">
        <v>116</v>
      </c>
      <c r="H19" s="236" t="s">
        <v>270</v>
      </c>
      <c r="I19" s="276" t="s">
        <v>280</v>
      </c>
      <c r="J19" s="276" t="s">
        <v>281</v>
      </c>
      <c r="K19" s="276">
        <v>280.202</v>
      </c>
      <c r="L19" s="277" t="s">
        <v>190</v>
      </c>
      <c r="M19" s="276">
        <v>2016</v>
      </c>
      <c r="N19" s="276">
        <v>2016</v>
      </c>
      <c r="O19" s="276" t="s">
        <v>193</v>
      </c>
      <c r="P19" s="276"/>
      <c r="Q19" s="276"/>
      <c r="R19" s="277"/>
      <c r="S19" s="276">
        <v>1</v>
      </c>
      <c r="T19" s="276"/>
      <c r="U19" s="276"/>
      <c r="V19" s="276"/>
      <c r="W19" s="276">
        <v>0</v>
      </c>
      <c r="X19" s="276">
        <v>0</v>
      </c>
      <c r="Y19" s="276">
        <v>0</v>
      </c>
      <c r="Z19" s="276"/>
      <c r="AA19" s="276">
        <v>0</v>
      </c>
      <c r="AB19" s="276">
        <v>0</v>
      </c>
      <c r="AC19" s="276"/>
      <c r="AD19" s="236" t="s">
        <v>145</v>
      </c>
      <c r="AE19" s="276"/>
      <c r="AF19" s="236" t="s">
        <v>182</v>
      </c>
      <c r="AG19" s="276">
        <v>1</v>
      </c>
      <c r="AH19" s="276">
        <v>0</v>
      </c>
      <c r="AI19" s="276"/>
      <c r="AJ19" s="276"/>
      <c r="AK19" s="276">
        <v>1</v>
      </c>
      <c r="AL19" s="276"/>
      <c r="AM19" s="276"/>
      <c r="AN19" s="276"/>
      <c r="AO19" s="276"/>
      <c r="AP19" s="276"/>
      <c r="AQ19" s="276"/>
      <c r="AR19" s="276"/>
      <c r="AS19" s="276"/>
      <c r="AT19" s="276"/>
      <c r="AU19" s="276"/>
      <c r="AV19" s="276"/>
      <c r="AW19" s="236"/>
    </row>
    <row r="20" spans="1:49" s="240" customFormat="1" ht="76.5">
      <c r="A20" s="276" t="s">
        <v>169</v>
      </c>
      <c r="B20" s="236">
        <v>2927</v>
      </c>
      <c r="C20" s="236" t="s">
        <v>282</v>
      </c>
      <c r="D20" s="276"/>
      <c r="E20" s="276" t="s">
        <v>283</v>
      </c>
      <c r="F20" s="276" t="s">
        <v>284</v>
      </c>
      <c r="G20" s="276" t="s">
        <v>116</v>
      </c>
      <c r="H20" s="236" t="s">
        <v>205</v>
      </c>
      <c r="I20" s="276" t="s">
        <v>285</v>
      </c>
      <c r="J20" s="236" t="s">
        <v>286</v>
      </c>
      <c r="K20" s="276">
        <v>336</v>
      </c>
      <c r="L20" s="277" t="s">
        <v>190</v>
      </c>
      <c r="M20" s="236">
        <v>1989</v>
      </c>
      <c r="N20" s="236">
        <v>2012</v>
      </c>
      <c r="O20" s="238" t="s">
        <v>287</v>
      </c>
      <c r="P20" s="236" t="s">
        <v>199</v>
      </c>
      <c r="Q20" s="236" t="s">
        <v>121</v>
      </c>
      <c r="R20" s="277" t="s">
        <v>288</v>
      </c>
      <c r="S20" s="236">
        <v>1</v>
      </c>
      <c r="T20" s="236">
        <v>345.466318</v>
      </c>
      <c r="U20" s="236">
        <v>345.466318</v>
      </c>
      <c r="V20" s="236"/>
      <c r="W20" s="236">
        <v>0</v>
      </c>
      <c r="X20" s="236">
        <v>0</v>
      </c>
      <c r="Y20" s="236">
        <v>0</v>
      </c>
      <c r="Z20" s="236">
        <v>345.466318</v>
      </c>
      <c r="AA20" s="236">
        <v>0</v>
      </c>
      <c r="AB20" s="236">
        <v>0</v>
      </c>
      <c r="AC20" s="236">
        <v>0</v>
      </c>
      <c r="AD20" s="236" t="s">
        <v>145</v>
      </c>
      <c r="AE20" s="236">
        <v>0</v>
      </c>
      <c r="AF20" s="236" t="s">
        <v>208</v>
      </c>
      <c r="AG20" s="236">
        <v>0</v>
      </c>
      <c r="AH20" s="236">
        <v>1</v>
      </c>
      <c r="AI20" s="236"/>
      <c r="AJ20" s="236">
        <v>0</v>
      </c>
      <c r="AK20" s="236">
        <v>1</v>
      </c>
      <c r="AL20" s="236">
        <v>1</v>
      </c>
      <c r="AM20" s="236"/>
      <c r="AN20" s="236"/>
      <c r="AO20" s="236"/>
      <c r="AP20" s="236"/>
      <c r="AQ20" s="236">
        <v>555576226</v>
      </c>
      <c r="AR20" s="276"/>
      <c r="AS20" s="276"/>
      <c r="AT20" s="276" t="s">
        <v>180</v>
      </c>
      <c r="AU20" s="250" t="s">
        <v>289</v>
      </c>
      <c r="AV20" s="276"/>
      <c r="AW20" s="236"/>
    </row>
    <row r="21" spans="1:49">
      <c r="A21" s="276" t="s">
        <v>235</v>
      </c>
      <c r="B21" s="276"/>
      <c r="C21" s="276"/>
      <c r="D21" s="276"/>
      <c r="E21" s="276" t="s">
        <v>290</v>
      </c>
      <c r="F21" s="277" t="s">
        <v>257</v>
      </c>
      <c r="G21" s="276" t="s">
        <v>116</v>
      </c>
      <c r="H21" s="198" t="s">
        <v>258</v>
      </c>
      <c r="I21" s="276" t="s">
        <v>291</v>
      </c>
      <c r="J21" s="276" t="s">
        <v>292</v>
      </c>
      <c r="K21" s="276">
        <v>2.2999999999999998</v>
      </c>
      <c r="L21" s="277" t="s">
        <v>190</v>
      </c>
      <c r="M21" s="276">
        <v>2012</v>
      </c>
      <c r="N21" s="276"/>
      <c r="O21" s="276"/>
      <c r="P21" s="276"/>
      <c r="Q21" s="276"/>
      <c r="R21" s="277"/>
      <c r="S21" s="276"/>
      <c r="T21" s="276"/>
      <c r="U21" s="276"/>
      <c r="V21" s="276"/>
      <c r="W21" s="276"/>
      <c r="X21" s="276"/>
      <c r="Y21" s="276"/>
      <c r="Z21" s="276"/>
      <c r="AA21" s="276"/>
      <c r="AB21" s="276"/>
      <c r="AC21" s="276"/>
      <c r="AD21" s="276"/>
      <c r="AE21" s="276"/>
      <c r="AF21" s="276"/>
      <c r="AG21" s="276"/>
      <c r="AH21" s="276"/>
      <c r="AI21" s="276"/>
      <c r="AJ21" s="276"/>
      <c r="AK21" s="276"/>
      <c r="AL21" s="276"/>
      <c r="AM21" s="276"/>
      <c r="AN21" s="276"/>
      <c r="AO21" s="276"/>
      <c r="AP21" s="276"/>
      <c r="AQ21" s="276"/>
      <c r="AR21" s="276"/>
      <c r="AS21" s="276"/>
      <c r="AT21" s="276"/>
      <c r="AU21" s="276"/>
      <c r="AV21" s="276"/>
      <c r="AW21" s="236"/>
    </row>
    <row r="22" spans="1:49" ht="30.75">
      <c r="A22" s="236" t="s">
        <v>169</v>
      </c>
      <c r="B22" s="198">
        <v>45</v>
      </c>
      <c r="C22" s="198" t="s">
        <v>293</v>
      </c>
      <c r="D22" s="236"/>
      <c r="E22" s="236" t="s">
        <v>294</v>
      </c>
      <c r="F22" s="276" t="s">
        <v>295</v>
      </c>
      <c r="G22" s="276" t="s">
        <v>173</v>
      </c>
      <c r="H22" s="236" t="s">
        <v>270</v>
      </c>
      <c r="I22" s="236" t="s">
        <v>296</v>
      </c>
      <c r="J22" s="236" t="s">
        <v>297</v>
      </c>
      <c r="K22" s="236">
        <v>5016.6000000000004</v>
      </c>
      <c r="L22" s="277" t="s">
        <v>190</v>
      </c>
      <c r="M22" s="276">
        <v>1990</v>
      </c>
      <c r="N22" s="236">
        <v>1996</v>
      </c>
      <c r="O22" s="236" t="s">
        <v>298</v>
      </c>
      <c r="P22" s="276" t="s">
        <v>180</v>
      </c>
      <c r="Q22" s="276"/>
      <c r="R22" s="238" t="s">
        <v>181</v>
      </c>
      <c r="S22" s="236">
        <v>1</v>
      </c>
      <c r="T22" s="237">
        <v>5017</v>
      </c>
      <c r="U22" s="237">
        <v>5017</v>
      </c>
      <c r="V22" s="236"/>
      <c r="W22" s="236">
        <v>0</v>
      </c>
      <c r="X22" s="236">
        <v>0</v>
      </c>
      <c r="Y22" s="236">
        <v>0</v>
      </c>
      <c r="Z22" s="237">
        <v>5017</v>
      </c>
      <c r="AA22" s="236">
        <v>0</v>
      </c>
      <c r="AB22" s="236">
        <v>0</v>
      </c>
      <c r="AC22" s="236">
        <v>0</v>
      </c>
      <c r="AD22" s="236" t="s">
        <v>145</v>
      </c>
      <c r="AE22" s="236">
        <v>0</v>
      </c>
      <c r="AF22" s="236" t="s">
        <v>208</v>
      </c>
      <c r="AG22" s="236">
        <v>0</v>
      </c>
      <c r="AH22" s="236">
        <v>1</v>
      </c>
      <c r="AI22" s="236"/>
      <c r="AJ22" s="236">
        <v>0</v>
      </c>
      <c r="AK22" s="236">
        <v>0</v>
      </c>
      <c r="AL22" s="236">
        <v>0</v>
      </c>
      <c r="AM22" s="236"/>
      <c r="AN22" s="236"/>
      <c r="AO22" s="236"/>
      <c r="AP22" s="236"/>
      <c r="AQ22" s="236">
        <v>115878</v>
      </c>
      <c r="AR22" s="236" t="s">
        <v>299</v>
      </c>
      <c r="AS22" s="236" t="s">
        <v>300</v>
      </c>
      <c r="AT22" s="236" t="s">
        <v>180</v>
      </c>
      <c r="AU22" s="236"/>
      <c r="AV22" s="236"/>
      <c r="AW22" s="236"/>
    </row>
    <row r="23" spans="1:49" s="240" customFormat="1" ht="30.75">
      <c r="A23" s="236" t="s">
        <v>169</v>
      </c>
      <c r="B23" s="198">
        <v>2924</v>
      </c>
      <c r="C23" s="213">
        <v>910422924</v>
      </c>
      <c r="D23" s="236"/>
      <c r="E23" s="236" t="s">
        <v>301</v>
      </c>
      <c r="F23" s="276" t="s">
        <v>229</v>
      </c>
      <c r="G23" s="276" t="s">
        <v>173</v>
      </c>
      <c r="H23" s="198" t="s">
        <v>230</v>
      </c>
      <c r="I23" s="236" t="s">
        <v>302</v>
      </c>
      <c r="J23" s="236" t="s">
        <v>303</v>
      </c>
      <c r="K23" s="236">
        <v>17600</v>
      </c>
      <c r="L23" s="277" t="s">
        <v>190</v>
      </c>
      <c r="M23" s="276">
        <v>1990</v>
      </c>
      <c r="N23" s="276">
        <v>1990</v>
      </c>
      <c r="O23" s="212" t="s">
        <v>193</v>
      </c>
      <c r="P23" s="276" t="s">
        <v>180</v>
      </c>
      <c r="Q23" s="276" t="s">
        <v>180</v>
      </c>
      <c r="R23" s="238" t="s">
        <v>181</v>
      </c>
      <c r="S23" s="236">
        <v>1</v>
      </c>
      <c r="T23" s="237">
        <v>17105</v>
      </c>
      <c r="U23" s="236">
        <v>357</v>
      </c>
      <c r="V23" s="236"/>
      <c r="W23" s="236">
        <v>0</v>
      </c>
      <c r="X23" s="236">
        <v>0</v>
      </c>
      <c r="Y23" s="236">
        <v>0</v>
      </c>
      <c r="Z23" s="236">
        <v>357</v>
      </c>
      <c r="AA23" s="236">
        <v>0</v>
      </c>
      <c r="AB23" s="236">
        <v>0</v>
      </c>
      <c r="AC23" s="237">
        <v>16748</v>
      </c>
      <c r="AD23" s="236" t="s">
        <v>148</v>
      </c>
      <c r="AE23" s="236">
        <v>0.97910514999999998</v>
      </c>
      <c r="AF23" s="236" t="s">
        <v>182</v>
      </c>
      <c r="AG23" s="236">
        <v>1</v>
      </c>
      <c r="AH23" s="236">
        <v>0</v>
      </c>
      <c r="AI23" s="236"/>
      <c r="AJ23" s="236">
        <v>1</v>
      </c>
      <c r="AK23" s="236">
        <v>1</v>
      </c>
      <c r="AL23" s="236">
        <v>1</v>
      </c>
      <c r="AM23" s="236"/>
      <c r="AN23" s="236"/>
      <c r="AO23" s="236"/>
      <c r="AP23" s="236"/>
      <c r="AQ23" s="236">
        <v>31751</v>
      </c>
      <c r="AR23" s="236" t="s">
        <v>304</v>
      </c>
      <c r="AS23" s="236" t="s">
        <v>305</v>
      </c>
      <c r="AT23" s="236" t="s">
        <v>180</v>
      </c>
      <c r="AU23" s="236"/>
      <c r="AV23" s="236"/>
      <c r="AW23" s="236"/>
    </row>
    <row r="24" spans="1:49" ht="30.75">
      <c r="A24" s="236" t="s">
        <v>169</v>
      </c>
      <c r="B24" s="236">
        <v>1079</v>
      </c>
      <c r="C24" s="236" t="s">
        <v>306</v>
      </c>
      <c r="D24" s="236"/>
      <c r="E24" s="236" t="s">
        <v>307</v>
      </c>
      <c r="F24" s="276" t="s">
        <v>54</v>
      </c>
      <c r="G24" s="276" t="s">
        <v>173</v>
      </c>
      <c r="H24" s="236" t="s">
        <v>270</v>
      </c>
      <c r="I24" s="205" t="s">
        <v>308</v>
      </c>
      <c r="J24" s="236" t="s">
        <v>309</v>
      </c>
      <c r="K24" s="236">
        <v>1854</v>
      </c>
      <c r="L24" s="277" t="s">
        <v>190</v>
      </c>
      <c r="M24" s="276">
        <v>1990</v>
      </c>
      <c r="N24" s="276">
        <v>1990</v>
      </c>
      <c r="O24" s="236" t="s">
        <v>193</v>
      </c>
      <c r="P24" s="236" t="s">
        <v>199</v>
      </c>
      <c r="Q24" s="236" t="s">
        <v>199</v>
      </c>
      <c r="R24" s="238" t="s">
        <v>181</v>
      </c>
      <c r="S24" s="236">
        <v>0</v>
      </c>
      <c r="T24" s="236">
        <v>900</v>
      </c>
      <c r="U24" s="236">
        <v>900</v>
      </c>
      <c r="V24" s="236"/>
      <c r="W24" s="236">
        <v>0</v>
      </c>
      <c r="X24" s="236">
        <v>0</v>
      </c>
      <c r="Y24" s="236">
        <v>0</v>
      </c>
      <c r="Z24" s="236">
        <v>900</v>
      </c>
      <c r="AA24" s="236">
        <v>0</v>
      </c>
      <c r="AB24" s="236">
        <v>0</v>
      </c>
      <c r="AC24" s="236">
        <v>0</v>
      </c>
      <c r="AD24" s="236" t="s">
        <v>145</v>
      </c>
      <c r="AE24" s="236">
        <v>0</v>
      </c>
      <c r="AF24" s="236" t="s">
        <v>208</v>
      </c>
      <c r="AG24" s="236">
        <v>0</v>
      </c>
      <c r="AH24" s="236">
        <v>1</v>
      </c>
      <c r="AI24" s="236"/>
      <c r="AJ24" s="236">
        <v>0</v>
      </c>
      <c r="AK24" s="236">
        <v>0</v>
      </c>
      <c r="AL24" s="236">
        <v>0</v>
      </c>
      <c r="AM24" s="236"/>
      <c r="AN24" s="236"/>
      <c r="AO24" s="236"/>
      <c r="AP24" s="236"/>
      <c r="AQ24" s="236">
        <v>555682497</v>
      </c>
      <c r="AR24" s="236" t="s">
        <v>193</v>
      </c>
      <c r="AS24" s="236" t="s">
        <v>193</v>
      </c>
      <c r="AT24" s="236" t="s">
        <v>180</v>
      </c>
      <c r="AU24" s="206"/>
      <c r="AV24" s="236"/>
      <c r="AW24" s="236"/>
    </row>
    <row r="25" spans="1:49" ht="30.75">
      <c r="A25" s="236" t="s">
        <v>169</v>
      </c>
      <c r="B25" s="236">
        <v>1090</v>
      </c>
      <c r="C25" s="236" t="s">
        <v>310</v>
      </c>
      <c r="D25" s="236"/>
      <c r="E25" s="236" t="s">
        <v>311</v>
      </c>
      <c r="F25" s="276" t="s">
        <v>54</v>
      </c>
      <c r="G25" s="276" t="s">
        <v>173</v>
      </c>
      <c r="H25" s="236" t="s">
        <v>270</v>
      </c>
      <c r="I25" s="236" t="s">
        <v>312</v>
      </c>
      <c r="J25" s="236" t="s">
        <v>309</v>
      </c>
      <c r="K25" s="236">
        <v>558.86</v>
      </c>
      <c r="L25" s="277" t="s">
        <v>190</v>
      </c>
      <c r="M25" s="276">
        <v>1990</v>
      </c>
      <c r="N25" s="276">
        <v>1998</v>
      </c>
      <c r="O25" s="205" t="s">
        <v>313</v>
      </c>
      <c r="P25" s="236" t="s">
        <v>199</v>
      </c>
      <c r="Q25" s="236" t="s">
        <v>199</v>
      </c>
      <c r="R25" s="238" t="s">
        <v>181</v>
      </c>
      <c r="S25" s="236">
        <v>0</v>
      </c>
      <c r="T25" s="237">
        <v>1854</v>
      </c>
      <c r="U25" s="237">
        <v>1854</v>
      </c>
      <c r="V25" s="236"/>
      <c r="W25" s="236">
        <v>0</v>
      </c>
      <c r="X25" s="236">
        <v>0</v>
      </c>
      <c r="Y25" s="236">
        <v>0</v>
      </c>
      <c r="Z25" s="237">
        <v>1854</v>
      </c>
      <c r="AA25" s="236">
        <v>0</v>
      </c>
      <c r="AB25" s="236">
        <v>0</v>
      </c>
      <c r="AC25" s="236">
        <v>0</v>
      </c>
      <c r="AD25" s="236" t="s">
        <v>145</v>
      </c>
      <c r="AE25" s="236">
        <v>0</v>
      </c>
      <c r="AF25" s="236" t="s">
        <v>208</v>
      </c>
      <c r="AG25" s="236">
        <v>0</v>
      </c>
      <c r="AH25" s="236">
        <v>1</v>
      </c>
      <c r="AI25" s="236"/>
      <c r="AJ25" s="236">
        <v>0</v>
      </c>
      <c r="AK25" s="236">
        <v>0</v>
      </c>
      <c r="AL25" s="236">
        <v>0</v>
      </c>
      <c r="AM25" s="236"/>
      <c r="AN25" s="236"/>
      <c r="AO25" s="236"/>
      <c r="AP25" s="236"/>
      <c r="AQ25" s="236">
        <v>555682499</v>
      </c>
      <c r="AR25" s="236" t="s">
        <v>193</v>
      </c>
      <c r="AS25" s="236" t="s">
        <v>193</v>
      </c>
      <c r="AT25" s="236"/>
      <c r="AU25" s="206"/>
      <c r="AV25" s="236"/>
      <c r="AW25" s="236"/>
    </row>
    <row r="26" spans="1:49" s="240" customFormat="1" ht="30.75">
      <c r="A26" s="276" t="s">
        <v>169</v>
      </c>
      <c r="B26" s="236">
        <v>3159</v>
      </c>
      <c r="C26" s="236" t="s">
        <v>314</v>
      </c>
      <c r="D26" s="276"/>
      <c r="E26" s="276" t="s">
        <v>315</v>
      </c>
      <c r="F26" s="276" t="s">
        <v>279</v>
      </c>
      <c r="G26" s="276" t="s">
        <v>116</v>
      </c>
      <c r="H26" s="236" t="s">
        <v>316</v>
      </c>
      <c r="I26" s="236" t="s">
        <v>317</v>
      </c>
      <c r="J26" s="236" t="s">
        <v>266</v>
      </c>
      <c r="K26" s="200">
        <v>251.07</v>
      </c>
      <c r="L26" s="277" t="s">
        <v>190</v>
      </c>
      <c r="M26" s="276">
        <v>1990</v>
      </c>
      <c r="N26" s="236">
        <v>2016</v>
      </c>
      <c r="O26" s="197" t="s">
        <v>318</v>
      </c>
      <c r="P26" s="276" t="s">
        <v>319</v>
      </c>
      <c r="Q26" s="236" t="s">
        <v>121</v>
      </c>
      <c r="R26" s="277" t="s">
        <v>320</v>
      </c>
      <c r="S26" s="236">
        <v>1</v>
      </c>
      <c r="T26" s="236">
        <v>253</v>
      </c>
      <c r="U26" s="236">
        <v>231</v>
      </c>
      <c r="V26" s="236"/>
      <c r="W26" s="236">
        <v>0</v>
      </c>
      <c r="X26" s="236">
        <v>0</v>
      </c>
      <c r="Y26" s="236">
        <v>0</v>
      </c>
      <c r="Z26" s="236">
        <v>231</v>
      </c>
      <c r="AA26" s="236">
        <v>0</v>
      </c>
      <c r="AB26" s="236">
        <v>0</v>
      </c>
      <c r="AC26" s="236">
        <v>22</v>
      </c>
      <c r="AD26" s="236" t="s">
        <v>145</v>
      </c>
      <c r="AE26" s="236">
        <v>8.5452831000000007E-2</v>
      </c>
      <c r="AF26" s="236" t="s">
        <v>182</v>
      </c>
      <c r="AG26" s="236">
        <v>1</v>
      </c>
      <c r="AH26" s="236">
        <v>0</v>
      </c>
      <c r="AI26" s="236"/>
      <c r="AJ26" s="236">
        <v>1</v>
      </c>
      <c r="AK26" s="236">
        <v>1</v>
      </c>
      <c r="AL26" s="236">
        <v>1</v>
      </c>
      <c r="AM26" s="236"/>
      <c r="AN26" s="236"/>
      <c r="AO26" s="236"/>
      <c r="AP26" s="236"/>
      <c r="AQ26" s="236">
        <v>555600124</v>
      </c>
      <c r="AR26" s="276"/>
      <c r="AS26" s="276"/>
      <c r="AT26" s="276" t="s">
        <v>180</v>
      </c>
      <c r="AU26" s="250" t="s">
        <v>321</v>
      </c>
      <c r="AV26" s="276"/>
      <c r="AW26" s="236"/>
    </row>
    <row r="27" spans="1:49" s="240" customFormat="1">
      <c r="A27" s="276" t="s">
        <v>235</v>
      </c>
      <c r="B27" s="276"/>
      <c r="C27" s="276"/>
      <c r="D27" s="276"/>
      <c r="E27" s="276" t="s">
        <v>322</v>
      </c>
      <c r="F27" s="276" t="s">
        <v>172</v>
      </c>
      <c r="G27" s="276" t="s">
        <v>116</v>
      </c>
      <c r="H27" s="236" t="s">
        <v>270</v>
      </c>
      <c r="I27" s="276" t="s">
        <v>323</v>
      </c>
      <c r="J27" s="276" t="s">
        <v>324</v>
      </c>
      <c r="K27" s="276">
        <v>2.6</v>
      </c>
      <c r="L27" s="277" t="s">
        <v>190</v>
      </c>
      <c r="M27" s="276">
        <v>2004</v>
      </c>
      <c r="N27" s="276"/>
      <c r="O27" s="276"/>
      <c r="P27" s="276"/>
      <c r="Q27" s="276"/>
      <c r="R27" s="277"/>
      <c r="S27" s="276"/>
      <c r="T27" s="276"/>
      <c r="U27" s="276"/>
      <c r="V27" s="276"/>
      <c r="W27" s="276">
        <v>0</v>
      </c>
      <c r="X27" s="276">
        <v>0</v>
      </c>
      <c r="Y27" s="276">
        <v>0</v>
      </c>
      <c r="Z27" s="276"/>
      <c r="AA27" s="276">
        <v>0</v>
      </c>
      <c r="AB27" s="276">
        <v>0</v>
      </c>
      <c r="AC27" s="276"/>
      <c r="AD27" s="276"/>
      <c r="AE27" s="276"/>
      <c r="AF27" s="276"/>
      <c r="AG27" s="276"/>
      <c r="AH27" s="276"/>
      <c r="AI27" s="276"/>
      <c r="AJ27" s="276"/>
      <c r="AK27" s="276"/>
      <c r="AL27" s="276"/>
      <c r="AM27" s="276"/>
      <c r="AN27" s="276"/>
      <c r="AO27" s="276"/>
      <c r="AP27" s="276"/>
      <c r="AQ27" s="276"/>
      <c r="AR27" s="276"/>
      <c r="AS27" s="276"/>
      <c r="AT27" s="276"/>
      <c r="AU27" s="276"/>
      <c r="AV27" s="276"/>
      <c r="AW27" s="236"/>
    </row>
    <row r="28" spans="1:49">
      <c r="A28" s="236" t="s">
        <v>169</v>
      </c>
      <c r="B28" s="198">
        <v>1</v>
      </c>
      <c r="C28" s="198" t="s">
        <v>325</v>
      </c>
      <c r="D28" s="236"/>
      <c r="E28" s="236" t="s">
        <v>326</v>
      </c>
      <c r="F28" s="277" t="s">
        <v>257</v>
      </c>
      <c r="G28" s="276" t="s">
        <v>173</v>
      </c>
      <c r="H28" s="198" t="s">
        <v>258</v>
      </c>
      <c r="I28" s="236" t="s">
        <v>327</v>
      </c>
      <c r="J28" s="198" t="s">
        <v>328</v>
      </c>
      <c r="K28" s="198">
        <v>3000</v>
      </c>
      <c r="L28" s="277" t="s">
        <v>190</v>
      </c>
      <c r="M28" s="276">
        <v>1992</v>
      </c>
      <c r="N28" s="198">
        <v>1992</v>
      </c>
      <c r="O28" s="198" t="s">
        <v>193</v>
      </c>
      <c r="P28" s="198" t="s">
        <v>121</v>
      </c>
      <c r="Q28" s="198" t="s">
        <v>121</v>
      </c>
      <c r="R28" s="198" t="s">
        <v>181</v>
      </c>
      <c r="S28" s="198">
        <v>1</v>
      </c>
      <c r="T28" s="213">
        <v>4437</v>
      </c>
      <c r="U28" s="213">
        <v>1877</v>
      </c>
      <c r="V28" s="198"/>
      <c r="W28" s="198">
        <v>0</v>
      </c>
      <c r="X28" s="198">
        <v>0</v>
      </c>
      <c r="Y28" s="198">
        <v>0</v>
      </c>
      <c r="Z28" s="213">
        <v>1877</v>
      </c>
      <c r="AA28" s="198">
        <v>0</v>
      </c>
      <c r="AB28" s="198">
        <v>0</v>
      </c>
      <c r="AC28" s="213">
        <v>2559</v>
      </c>
      <c r="AD28" s="198" t="s">
        <v>148</v>
      </c>
      <c r="AE28" s="198">
        <v>0.57685025899999998</v>
      </c>
      <c r="AF28" s="198" t="s">
        <v>208</v>
      </c>
      <c r="AG28" s="198">
        <v>0</v>
      </c>
      <c r="AH28" s="198">
        <v>1</v>
      </c>
      <c r="AI28" s="198"/>
      <c r="AJ28" s="198">
        <v>1</v>
      </c>
      <c r="AK28" s="198">
        <v>1</v>
      </c>
      <c r="AL28" s="198">
        <v>1</v>
      </c>
      <c r="AM28" s="198"/>
      <c r="AN28" s="198"/>
      <c r="AO28" s="198"/>
      <c r="AP28" s="198"/>
      <c r="AQ28" s="198">
        <v>115868</v>
      </c>
      <c r="AR28" s="236" t="s">
        <v>329</v>
      </c>
      <c r="AS28" s="236" t="s">
        <v>330</v>
      </c>
      <c r="AT28" s="236" t="s">
        <v>180</v>
      </c>
      <c r="AU28" s="236"/>
      <c r="AV28" s="236"/>
      <c r="AW28" s="236"/>
    </row>
    <row r="29" spans="1:49" ht="30.75">
      <c r="A29" s="236" t="s">
        <v>169</v>
      </c>
      <c r="B29" s="236">
        <v>1083</v>
      </c>
      <c r="C29" s="236" t="s">
        <v>331</v>
      </c>
      <c r="D29" s="236"/>
      <c r="E29" s="236" t="s">
        <v>332</v>
      </c>
      <c r="F29" s="276" t="s">
        <v>54</v>
      </c>
      <c r="G29" s="276" t="s">
        <v>173</v>
      </c>
      <c r="H29" s="236" t="s">
        <v>270</v>
      </c>
      <c r="I29" s="199" t="s">
        <v>333</v>
      </c>
      <c r="J29" s="236" t="s">
        <v>334</v>
      </c>
      <c r="K29" s="236">
        <v>590.6</v>
      </c>
      <c r="L29" s="277" t="s">
        <v>190</v>
      </c>
      <c r="M29" s="276">
        <v>1992</v>
      </c>
      <c r="N29" s="276">
        <v>1992</v>
      </c>
      <c r="O29" s="236" t="s">
        <v>193</v>
      </c>
      <c r="P29" s="236" t="s">
        <v>199</v>
      </c>
      <c r="Q29" s="236" t="s">
        <v>199</v>
      </c>
      <c r="R29" s="238" t="s">
        <v>181</v>
      </c>
      <c r="S29" s="236">
        <v>0</v>
      </c>
      <c r="T29" s="236">
        <v>591</v>
      </c>
      <c r="U29" s="236">
        <v>591</v>
      </c>
      <c r="V29" s="236"/>
      <c r="W29" s="236">
        <v>0</v>
      </c>
      <c r="X29" s="236">
        <v>0</v>
      </c>
      <c r="Y29" s="236">
        <v>0</v>
      </c>
      <c r="Z29" s="236">
        <v>591</v>
      </c>
      <c r="AA29" s="236">
        <v>0</v>
      </c>
      <c r="AB29" s="236">
        <v>0</v>
      </c>
      <c r="AC29" s="236">
        <v>0</v>
      </c>
      <c r="AD29" s="236" t="s">
        <v>145</v>
      </c>
      <c r="AE29" s="236">
        <v>0</v>
      </c>
      <c r="AF29" s="236" t="s">
        <v>208</v>
      </c>
      <c r="AG29" s="236">
        <v>0</v>
      </c>
      <c r="AH29" s="236">
        <v>1</v>
      </c>
      <c r="AI29" s="236"/>
      <c r="AJ29" s="236">
        <v>0</v>
      </c>
      <c r="AK29" s="236">
        <v>1</v>
      </c>
      <c r="AL29" s="236">
        <v>1</v>
      </c>
      <c r="AM29" s="236"/>
      <c r="AN29" s="236"/>
      <c r="AO29" s="236"/>
      <c r="AP29" s="236"/>
      <c r="AQ29" s="236">
        <v>555682494</v>
      </c>
      <c r="AR29" s="236" t="s">
        <v>193</v>
      </c>
      <c r="AS29" s="236" t="s">
        <v>193</v>
      </c>
      <c r="AT29" s="236" t="s">
        <v>180</v>
      </c>
      <c r="AU29" s="199"/>
      <c r="AV29" s="236"/>
      <c r="AW29" s="236"/>
    </row>
    <row r="30" spans="1:49" ht="30.75">
      <c r="A30" s="236" t="s">
        <v>169</v>
      </c>
      <c r="B30" s="236">
        <v>153</v>
      </c>
      <c r="C30" s="236" t="s">
        <v>335</v>
      </c>
      <c r="D30" s="236"/>
      <c r="E30" s="236" t="s">
        <v>336</v>
      </c>
      <c r="F30" s="276" t="s">
        <v>172</v>
      </c>
      <c r="G30" s="276" t="s">
        <v>173</v>
      </c>
      <c r="H30" s="198" t="s">
        <v>174</v>
      </c>
      <c r="I30" s="236" t="s">
        <v>337</v>
      </c>
      <c r="J30" s="238" t="s">
        <v>338</v>
      </c>
      <c r="K30" s="236" t="s">
        <v>339</v>
      </c>
      <c r="L30" s="277" t="s">
        <v>178</v>
      </c>
      <c r="M30" s="276">
        <v>1992</v>
      </c>
      <c r="N30" s="236">
        <v>1992</v>
      </c>
      <c r="O30" s="276" t="s">
        <v>340</v>
      </c>
      <c r="P30" s="276" t="s">
        <v>180</v>
      </c>
      <c r="Q30" s="236" t="s">
        <v>121</v>
      </c>
      <c r="R30" s="238" t="s">
        <v>181</v>
      </c>
      <c r="S30" s="236">
        <v>1</v>
      </c>
      <c r="T30" s="237">
        <v>17302</v>
      </c>
      <c r="U30" s="237">
        <v>17302</v>
      </c>
      <c r="V30" s="236"/>
      <c r="W30" s="236">
        <v>0</v>
      </c>
      <c r="X30" s="236">
        <v>0</v>
      </c>
      <c r="Y30" s="236">
        <v>0</v>
      </c>
      <c r="Z30" s="237">
        <v>17302</v>
      </c>
      <c r="AA30" s="236">
        <v>0</v>
      </c>
      <c r="AB30" s="236">
        <v>0</v>
      </c>
      <c r="AC30" s="236">
        <v>0</v>
      </c>
      <c r="AD30" s="236" t="s">
        <v>145</v>
      </c>
      <c r="AE30" s="236">
        <v>0</v>
      </c>
      <c r="AF30" s="236" t="s">
        <v>182</v>
      </c>
      <c r="AG30" s="236">
        <v>1</v>
      </c>
      <c r="AH30" s="236">
        <v>0</v>
      </c>
      <c r="AI30" s="236"/>
      <c r="AJ30" s="236">
        <v>0</v>
      </c>
      <c r="AK30" s="236">
        <v>0</v>
      </c>
      <c r="AL30" s="236">
        <v>0</v>
      </c>
      <c r="AM30" s="236"/>
      <c r="AN30" s="236"/>
      <c r="AO30" s="236"/>
      <c r="AP30" s="236"/>
      <c r="AQ30" s="236">
        <v>555600307</v>
      </c>
      <c r="AR30" s="236" t="s">
        <v>341</v>
      </c>
      <c r="AS30" s="236" t="s">
        <v>342</v>
      </c>
      <c r="AT30" s="236" t="s">
        <v>180</v>
      </c>
      <c r="AU30" s="236"/>
      <c r="AV30" s="236"/>
      <c r="AW30" s="236"/>
    </row>
    <row r="31" spans="1:49" ht="60.75">
      <c r="A31" s="236" t="s">
        <v>169</v>
      </c>
      <c r="B31" s="236">
        <v>255</v>
      </c>
      <c r="C31" s="236" t="s">
        <v>343</v>
      </c>
      <c r="D31" s="236"/>
      <c r="E31" s="236" t="s">
        <v>344</v>
      </c>
      <c r="F31" s="276" t="s">
        <v>46</v>
      </c>
      <c r="G31" s="276" t="s">
        <v>173</v>
      </c>
      <c r="H31" s="236" t="s">
        <v>205</v>
      </c>
      <c r="I31" s="236" t="s">
        <v>345</v>
      </c>
      <c r="J31" s="236" t="s">
        <v>266</v>
      </c>
      <c r="K31" s="236">
        <v>1712.1</v>
      </c>
      <c r="L31" s="277" t="s">
        <v>190</v>
      </c>
      <c r="M31" s="276">
        <v>1992</v>
      </c>
      <c r="N31" s="276">
        <v>2021</v>
      </c>
      <c r="O31" s="277" t="s">
        <v>346</v>
      </c>
      <c r="P31" s="276" t="s">
        <v>180</v>
      </c>
      <c r="Q31" s="276" t="s">
        <v>121</v>
      </c>
      <c r="R31" s="238" t="s">
        <v>181</v>
      </c>
      <c r="S31" s="236">
        <v>1</v>
      </c>
      <c r="T31" s="237">
        <v>1687</v>
      </c>
      <c r="U31" s="236">
        <v>782</v>
      </c>
      <c r="V31" s="236"/>
      <c r="W31" s="236">
        <v>0</v>
      </c>
      <c r="X31" s="236">
        <v>0</v>
      </c>
      <c r="Y31" s="236">
        <v>0</v>
      </c>
      <c r="Z31" s="236">
        <v>782</v>
      </c>
      <c r="AA31" s="236">
        <v>0</v>
      </c>
      <c r="AB31" s="236">
        <v>0</v>
      </c>
      <c r="AC31" s="236">
        <v>905</v>
      </c>
      <c r="AD31" s="236" t="s">
        <v>148</v>
      </c>
      <c r="AE31" s="236">
        <v>0.53632921899999997</v>
      </c>
      <c r="AF31" s="236" t="s">
        <v>208</v>
      </c>
      <c r="AG31" s="236">
        <v>0</v>
      </c>
      <c r="AH31" s="236">
        <v>1</v>
      </c>
      <c r="AI31" s="236"/>
      <c r="AJ31" s="236">
        <v>1</v>
      </c>
      <c r="AK31" s="236">
        <v>1</v>
      </c>
      <c r="AL31" s="236">
        <v>1</v>
      </c>
      <c r="AM31" s="236"/>
      <c r="AN31" s="236"/>
      <c r="AO31" s="236"/>
      <c r="AP31" s="236"/>
      <c r="AQ31" s="236">
        <v>67715</v>
      </c>
      <c r="AR31" s="236" t="s">
        <v>347</v>
      </c>
      <c r="AS31" s="236" t="s">
        <v>348</v>
      </c>
      <c r="AT31" s="236" t="s">
        <v>180</v>
      </c>
      <c r="AU31" s="236"/>
      <c r="AV31" s="236"/>
      <c r="AW31" s="236"/>
    </row>
    <row r="32" spans="1:49" s="240" customFormat="1">
      <c r="A32" s="276" t="s">
        <v>235</v>
      </c>
      <c r="B32" s="276"/>
      <c r="C32" s="276"/>
      <c r="D32" s="276"/>
      <c r="E32" s="276" t="s">
        <v>349</v>
      </c>
      <c r="F32" s="276" t="s">
        <v>172</v>
      </c>
      <c r="G32" s="276" t="s">
        <v>116</v>
      </c>
      <c r="H32" s="236" t="s">
        <v>270</v>
      </c>
      <c r="I32" s="276" t="s">
        <v>350</v>
      </c>
      <c r="J32" s="276" t="s">
        <v>351</v>
      </c>
      <c r="K32" s="276">
        <v>54</v>
      </c>
      <c r="L32" s="277" t="s">
        <v>190</v>
      </c>
      <c r="M32" s="276">
        <v>2000</v>
      </c>
      <c r="N32" s="276"/>
      <c r="O32" s="276"/>
      <c r="P32" s="276"/>
      <c r="Q32" s="276"/>
      <c r="R32" s="277"/>
      <c r="S32" s="276"/>
      <c r="T32" s="276"/>
      <c r="U32" s="276"/>
      <c r="V32" s="276"/>
      <c r="W32" s="276">
        <v>0</v>
      </c>
      <c r="X32" s="276">
        <v>0</v>
      </c>
      <c r="Y32" s="276">
        <v>0</v>
      </c>
      <c r="Z32" s="276"/>
      <c r="AA32" s="276">
        <v>0</v>
      </c>
      <c r="AB32" s="276">
        <v>0</v>
      </c>
      <c r="AC32" s="276"/>
      <c r="AD32" s="276"/>
      <c r="AE32" s="276"/>
      <c r="AF32" s="276"/>
      <c r="AG32" s="276"/>
      <c r="AH32" s="276"/>
      <c r="AI32" s="276"/>
      <c r="AJ32" s="276"/>
      <c r="AK32" s="276"/>
      <c r="AL32" s="276"/>
      <c r="AM32" s="276"/>
      <c r="AN32" s="276"/>
      <c r="AO32" s="276"/>
      <c r="AP32" s="276"/>
      <c r="AQ32" s="276"/>
      <c r="AR32" s="276"/>
      <c r="AS32" s="276"/>
      <c r="AT32" s="276" t="s">
        <v>180</v>
      </c>
      <c r="AU32" s="276"/>
      <c r="AV32" s="276"/>
      <c r="AW32" s="236"/>
    </row>
    <row r="33" spans="1:49" ht="60.75">
      <c r="A33" s="276" t="s">
        <v>169</v>
      </c>
      <c r="B33" s="198">
        <v>1865</v>
      </c>
      <c r="C33" s="213">
        <v>820421865</v>
      </c>
      <c r="D33" s="276"/>
      <c r="E33" s="276" t="s">
        <v>352</v>
      </c>
      <c r="F33" s="277" t="s">
        <v>257</v>
      </c>
      <c r="G33" s="277" t="s">
        <v>116</v>
      </c>
      <c r="H33" s="198" t="s">
        <v>258</v>
      </c>
      <c r="I33" s="277" t="s">
        <v>353</v>
      </c>
      <c r="J33" s="198" t="s">
        <v>354</v>
      </c>
      <c r="K33" s="198">
        <v>2014.7</v>
      </c>
      <c r="L33" s="277" t="s">
        <v>190</v>
      </c>
      <c r="M33" s="276">
        <v>1993</v>
      </c>
      <c r="N33" s="198">
        <v>2020</v>
      </c>
      <c r="O33" s="277" t="s">
        <v>355</v>
      </c>
      <c r="P33" s="198" t="s">
        <v>199</v>
      </c>
      <c r="Q33" s="198" t="s">
        <v>199</v>
      </c>
      <c r="R33" s="198" t="s">
        <v>356</v>
      </c>
      <c r="S33" s="198">
        <v>1</v>
      </c>
      <c r="T33" s="213">
        <v>2015</v>
      </c>
      <c r="U33" s="213">
        <v>2015</v>
      </c>
      <c r="V33" s="198"/>
      <c r="W33" s="198">
        <v>0</v>
      </c>
      <c r="X33" s="198">
        <v>0</v>
      </c>
      <c r="Y33" s="198">
        <v>0</v>
      </c>
      <c r="Z33" s="213">
        <v>2015</v>
      </c>
      <c r="AA33" s="198">
        <v>0</v>
      </c>
      <c r="AB33" s="198">
        <v>0</v>
      </c>
      <c r="AC33" s="198">
        <v>0</v>
      </c>
      <c r="AD33" s="198" t="s">
        <v>145</v>
      </c>
      <c r="AE33" s="198">
        <v>0</v>
      </c>
      <c r="AF33" s="198" t="s">
        <v>208</v>
      </c>
      <c r="AG33" s="198">
        <v>0</v>
      </c>
      <c r="AH33" s="198">
        <v>1</v>
      </c>
      <c r="AI33" s="198"/>
      <c r="AJ33" s="198">
        <v>0</v>
      </c>
      <c r="AK33" s="198">
        <v>1</v>
      </c>
      <c r="AL33" s="198">
        <v>1</v>
      </c>
      <c r="AM33" s="198"/>
      <c r="AN33" s="198"/>
      <c r="AO33" s="198"/>
      <c r="AP33" s="198"/>
      <c r="AQ33" s="198">
        <v>555576333</v>
      </c>
      <c r="AR33" s="276"/>
      <c r="AS33" s="276"/>
      <c r="AT33" s="276" t="s">
        <v>180</v>
      </c>
      <c r="AU33" s="247" t="s">
        <v>357</v>
      </c>
      <c r="AV33" s="276"/>
      <c r="AW33" s="236"/>
    </row>
    <row r="34" spans="1:49" ht="30.75">
      <c r="A34" s="236" t="s">
        <v>169</v>
      </c>
      <c r="B34" s="236">
        <v>1086</v>
      </c>
      <c r="C34" s="236" t="s">
        <v>358</v>
      </c>
      <c r="D34" s="236"/>
      <c r="E34" s="236" t="s">
        <v>359</v>
      </c>
      <c r="F34" s="276" t="s">
        <v>54</v>
      </c>
      <c r="G34" s="276" t="s">
        <v>173</v>
      </c>
      <c r="H34" s="236" t="s">
        <v>270</v>
      </c>
      <c r="I34" s="199" t="s">
        <v>360</v>
      </c>
      <c r="J34" s="236" t="s">
        <v>361</v>
      </c>
      <c r="K34" s="236">
        <v>5296.16</v>
      </c>
      <c r="L34" s="277" t="s">
        <v>190</v>
      </c>
      <c r="M34" s="276">
        <v>1993</v>
      </c>
      <c r="N34" s="276">
        <v>1993</v>
      </c>
      <c r="O34" s="236" t="s">
        <v>193</v>
      </c>
      <c r="P34" s="236" t="s">
        <v>199</v>
      </c>
      <c r="Q34" s="236" t="s">
        <v>199</v>
      </c>
      <c r="R34" s="238" t="s">
        <v>181</v>
      </c>
      <c r="S34" s="236">
        <v>0</v>
      </c>
      <c r="T34" s="237">
        <v>5296</v>
      </c>
      <c r="U34" s="237">
        <v>5296</v>
      </c>
      <c r="V34" s="236"/>
      <c r="W34" s="236">
        <v>0</v>
      </c>
      <c r="X34" s="236">
        <v>0</v>
      </c>
      <c r="Y34" s="236">
        <v>0</v>
      </c>
      <c r="Z34" s="237">
        <v>5296</v>
      </c>
      <c r="AA34" s="236">
        <v>0</v>
      </c>
      <c r="AB34" s="236">
        <v>0</v>
      </c>
      <c r="AC34" s="236">
        <v>0</v>
      </c>
      <c r="AD34" s="236" t="s">
        <v>145</v>
      </c>
      <c r="AE34" s="236">
        <v>0</v>
      </c>
      <c r="AF34" s="236" t="s">
        <v>208</v>
      </c>
      <c r="AG34" s="236">
        <v>0</v>
      </c>
      <c r="AH34" s="236">
        <v>1</v>
      </c>
      <c r="AI34" s="236"/>
      <c r="AJ34" s="236">
        <v>0</v>
      </c>
      <c r="AK34" s="236">
        <v>0</v>
      </c>
      <c r="AL34" s="236">
        <v>0</v>
      </c>
      <c r="AM34" s="236"/>
      <c r="AN34" s="236"/>
      <c r="AO34" s="236"/>
      <c r="AP34" s="236"/>
      <c r="AQ34" s="236">
        <v>555682813</v>
      </c>
      <c r="AR34" s="236" t="s">
        <v>193</v>
      </c>
      <c r="AS34" s="236" t="s">
        <v>193</v>
      </c>
      <c r="AT34" s="236" t="s">
        <v>180</v>
      </c>
      <c r="AU34" s="199"/>
      <c r="AV34" s="236"/>
      <c r="AW34" s="236"/>
    </row>
    <row r="35" spans="1:49" s="240" customFormat="1" ht="30.75">
      <c r="A35" s="236" t="s">
        <v>169</v>
      </c>
      <c r="B35" s="236">
        <v>1098</v>
      </c>
      <c r="C35" s="236" t="s">
        <v>362</v>
      </c>
      <c r="D35" s="236"/>
      <c r="E35" s="236" t="s">
        <v>363</v>
      </c>
      <c r="F35" s="276" t="s">
        <v>54</v>
      </c>
      <c r="G35" s="276" t="s">
        <v>173</v>
      </c>
      <c r="H35" s="236" t="s">
        <v>270</v>
      </c>
      <c r="I35" s="199" t="s">
        <v>364</v>
      </c>
      <c r="J35" s="236" t="s">
        <v>361</v>
      </c>
      <c r="K35" s="236">
        <v>82.7</v>
      </c>
      <c r="L35" s="277" t="s">
        <v>190</v>
      </c>
      <c r="M35" s="276">
        <v>1993</v>
      </c>
      <c r="N35" s="276">
        <v>1993</v>
      </c>
      <c r="O35" s="236" t="s">
        <v>193</v>
      </c>
      <c r="P35" s="236" t="s">
        <v>199</v>
      </c>
      <c r="Q35" s="236" t="s">
        <v>199</v>
      </c>
      <c r="R35" s="238" t="s">
        <v>181</v>
      </c>
      <c r="S35" s="236">
        <v>1</v>
      </c>
      <c r="T35" s="236">
        <v>82</v>
      </c>
      <c r="U35" s="236">
        <v>82</v>
      </c>
      <c r="V35" s="236"/>
      <c r="W35" s="236">
        <v>0</v>
      </c>
      <c r="X35" s="236">
        <v>0</v>
      </c>
      <c r="Y35" s="236">
        <v>0</v>
      </c>
      <c r="Z35" s="236">
        <v>82</v>
      </c>
      <c r="AA35" s="236">
        <v>0</v>
      </c>
      <c r="AB35" s="236">
        <v>0</v>
      </c>
      <c r="AC35" s="236">
        <v>0</v>
      </c>
      <c r="AD35" s="236" t="s">
        <v>145</v>
      </c>
      <c r="AE35" s="236">
        <v>0</v>
      </c>
      <c r="AF35" s="236" t="s">
        <v>208</v>
      </c>
      <c r="AG35" s="236">
        <v>0</v>
      </c>
      <c r="AH35" s="236">
        <v>1</v>
      </c>
      <c r="AI35" s="236"/>
      <c r="AJ35" s="236">
        <v>0</v>
      </c>
      <c r="AK35" s="236">
        <v>0</v>
      </c>
      <c r="AL35" s="236">
        <v>0</v>
      </c>
      <c r="AM35" s="236"/>
      <c r="AN35" s="236"/>
      <c r="AO35" s="236"/>
      <c r="AP35" s="236"/>
      <c r="AQ35" s="236">
        <v>555682495</v>
      </c>
      <c r="AR35" s="236" t="s">
        <v>193</v>
      </c>
      <c r="AS35" s="236" t="s">
        <v>193</v>
      </c>
      <c r="AT35" s="236" t="s">
        <v>180</v>
      </c>
      <c r="AU35" s="199"/>
      <c r="AV35" s="236"/>
      <c r="AW35" s="236"/>
    </row>
    <row r="36" spans="1:49" s="240" customFormat="1">
      <c r="A36" s="276" t="s">
        <v>235</v>
      </c>
      <c r="B36" s="276"/>
      <c r="C36" s="276"/>
      <c r="D36" s="276"/>
      <c r="E36" s="276" t="s">
        <v>365</v>
      </c>
      <c r="F36" s="276" t="s">
        <v>295</v>
      </c>
      <c r="G36" s="276" t="s">
        <v>116</v>
      </c>
      <c r="H36" s="236" t="s">
        <v>270</v>
      </c>
      <c r="I36" s="276" t="s">
        <v>366</v>
      </c>
      <c r="J36" s="276" t="s">
        <v>367</v>
      </c>
      <c r="K36" s="276" t="s">
        <v>368</v>
      </c>
      <c r="L36" s="277" t="s">
        <v>190</v>
      </c>
      <c r="M36" s="276">
        <v>1993</v>
      </c>
      <c r="N36" s="276"/>
      <c r="O36" s="276"/>
      <c r="P36" s="276"/>
      <c r="Q36" s="276"/>
      <c r="R36" s="277"/>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36"/>
    </row>
    <row r="37" spans="1:49" s="240" customFormat="1" ht="30.75">
      <c r="A37" s="276" t="s">
        <v>169</v>
      </c>
      <c r="B37" s="236">
        <v>2643</v>
      </c>
      <c r="C37" s="236" t="s">
        <v>369</v>
      </c>
      <c r="D37" s="276"/>
      <c r="E37" s="276" t="s">
        <v>370</v>
      </c>
      <c r="F37" s="276" t="s">
        <v>172</v>
      </c>
      <c r="G37" s="276" t="s">
        <v>116</v>
      </c>
      <c r="H37" s="236" t="s">
        <v>174</v>
      </c>
      <c r="I37" s="276" t="s">
        <v>371</v>
      </c>
      <c r="J37" s="236" t="s">
        <v>372</v>
      </c>
      <c r="K37" s="276">
        <v>17.260000000000002</v>
      </c>
      <c r="L37" s="277" t="s">
        <v>190</v>
      </c>
      <c r="M37" s="276">
        <v>1993</v>
      </c>
      <c r="N37" s="276">
        <v>2006</v>
      </c>
      <c r="O37" s="276" t="s">
        <v>373</v>
      </c>
      <c r="P37" s="236" t="s">
        <v>199</v>
      </c>
      <c r="Q37" s="236" t="s">
        <v>199</v>
      </c>
      <c r="R37" s="277" t="s">
        <v>374</v>
      </c>
      <c r="S37" s="236">
        <v>0</v>
      </c>
      <c r="T37" s="236">
        <v>17</v>
      </c>
      <c r="U37" s="236">
        <v>17</v>
      </c>
      <c r="V37" s="236"/>
      <c r="W37" s="236">
        <v>0</v>
      </c>
      <c r="X37" s="236">
        <v>0</v>
      </c>
      <c r="Y37" s="236">
        <v>0</v>
      </c>
      <c r="Z37" s="236">
        <v>17</v>
      </c>
      <c r="AA37" s="236">
        <v>0</v>
      </c>
      <c r="AB37" s="236">
        <v>0</v>
      </c>
      <c r="AC37" s="236">
        <v>0</v>
      </c>
      <c r="AD37" s="236" t="s">
        <v>145</v>
      </c>
      <c r="AE37" s="236">
        <v>0</v>
      </c>
      <c r="AF37" s="236" t="s">
        <v>182</v>
      </c>
      <c r="AG37" s="236">
        <v>1</v>
      </c>
      <c r="AH37" s="236">
        <v>0</v>
      </c>
      <c r="AI37" s="236"/>
      <c r="AJ37" s="236">
        <v>0</v>
      </c>
      <c r="AK37" s="236">
        <v>1</v>
      </c>
      <c r="AL37" s="236">
        <v>1</v>
      </c>
      <c r="AM37" s="236"/>
      <c r="AN37" s="236"/>
      <c r="AO37" s="236"/>
      <c r="AP37" s="236"/>
      <c r="AQ37" s="236">
        <v>555682447</v>
      </c>
      <c r="AR37" s="276"/>
      <c r="AS37" s="276"/>
      <c r="AT37" s="276" t="s">
        <v>180</v>
      </c>
      <c r="AU37" s="250" t="s">
        <v>375</v>
      </c>
      <c r="AV37" s="276"/>
      <c r="AW37" s="236"/>
    </row>
    <row r="38" spans="1:49" s="240" customFormat="1">
      <c r="A38" s="276" t="s">
        <v>235</v>
      </c>
      <c r="B38" s="276"/>
      <c r="C38" s="276"/>
      <c r="D38" s="276"/>
      <c r="E38" s="276" t="s">
        <v>376</v>
      </c>
      <c r="F38" s="277" t="s">
        <v>257</v>
      </c>
      <c r="G38" s="276" t="s">
        <v>116</v>
      </c>
      <c r="H38" s="198" t="s">
        <v>258</v>
      </c>
      <c r="I38" s="276" t="s">
        <v>377</v>
      </c>
      <c r="J38" s="276" t="s">
        <v>367</v>
      </c>
      <c r="K38" s="276"/>
      <c r="L38" s="277" t="s">
        <v>190</v>
      </c>
      <c r="M38" s="276">
        <v>2002</v>
      </c>
      <c r="N38" s="276"/>
      <c r="O38" s="276"/>
      <c r="P38" s="276"/>
      <c r="Q38" s="276"/>
      <c r="R38" s="277"/>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36"/>
    </row>
    <row r="39" spans="1:49" s="240" customFormat="1">
      <c r="A39" s="276" t="s">
        <v>169</v>
      </c>
      <c r="B39" s="198">
        <v>4583</v>
      </c>
      <c r="C39" s="213">
        <v>8450424583</v>
      </c>
      <c r="D39" s="276"/>
      <c r="E39" s="276" t="s">
        <v>378</v>
      </c>
      <c r="F39" s="276" t="s">
        <v>39</v>
      </c>
      <c r="G39" s="276" t="s">
        <v>116</v>
      </c>
      <c r="H39" s="236" t="s">
        <v>270</v>
      </c>
      <c r="I39" s="207" t="s">
        <v>379</v>
      </c>
      <c r="J39" s="276" t="s">
        <v>380</v>
      </c>
      <c r="K39" s="276"/>
      <c r="L39" s="277" t="s">
        <v>190</v>
      </c>
      <c r="M39" s="276">
        <v>1994</v>
      </c>
      <c r="N39" s="276">
        <v>1994</v>
      </c>
      <c r="O39" s="207" t="s">
        <v>381</v>
      </c>
      <c r="P39" s="276"/>
      <c r="Q39" s="276"/>
      <c r="R39" s="277"/>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49" t="s">
        <v>382</v>
      </c>
      <c r="AV39" s="276"/>
      <c r="AW39" s="236"/>
    </row>
    <row r="40" spans="1:49" s="240" customFormat="1">
      <c r="A40" s="276" t="s">
        <v>235</v>
      </c>
      <c r="B40" s="276"/>
      <c r="C40" s="276"/>
      <c r="D40" s="276"/>
      <c r="E40" s="276" t="s">
        <v>383</v>
      </c>
      <c r="F40" s="277" t="s">
        <v>257</v>
      </c>
      <c r="G40" s="276" t="s">
        <v>116</v>
      </c>
      <c r="H40" s="198" t="s">
        <v>258</v>
      </c>
      <c r="I40" s="276" t="s">
        <v>384</v>
      </c>
      <c r="J40" s="276" t="s">
        <v>385</v>
      </c>
      <c r="K40" s="276">
        <v>992.83</v>
      </c>
      <c r="L40" s="277" t="s">
        <v>190</v>
      </c>
      <c r="M40" s="276">
        <v>2000</v>
      </c>
      <c r="N40" s="276"/>
      <c r="O40" s="276"/>
      <c r="P40" s="276"/>
      <c r="Q40" s="276"/>
      <c r="R40" s="277"/>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t="s">
        <v>180</v>
      </c>
      <c r="AU40" s="276"/>
      <c r="AV40" s="276"/>
      <c r="AW40" s="236"/>
    </row>
    <row r="41" spans="1:49" s="240" customFormat="1" ht="45.75">
      <c r="A41" s="276" t="s">
        <v>235</v>
      </c>
      <c r="B41" s="276"/>
      <c r="C41" s="276"/>
      <c r="D41" s="276"/>
      <c r="E41" s="277" t="s">
        <v>386</v>
      </c>
      <c r="F41" s="276" t="s">
        <v>237</v>
      </c>
      <c r="G41" s="197" t="s">
        <v>220</v>
      </c>
      <c r="H41" s="276"/>
      <c r="I41" s="277" t="s">
        <v>387</v>
      </c>
      <c r="J41" s="218" t="s">
        <v>388</v>
      </c>
      <c r="K41" s="277">
        <v>490000</v>
      </c>
      <c r="L41" s="277" t="s">
        <v>190</v>
      </c>
      <c r="M41" s="277">
        <v>2010</v>
      </c>
      <c r="N41" s="277"/>
      <c r="O41" s="277"/>
      <c r="P41" s="277"/>
      <c r="Q41" s="277"/>
      <c r="R41" s="277"/>
      <c r="S41" s="276"/>
      <c r="T41" s="276"/>
      <c r="U41" s="276"/>
      <c r="V41" s="277"/>
      <c r="W41" s="277"/>
      <c r="X41" s="277"/>
      <c r="Y41" s="277"/>
      <c r="Z41" s="277"/>
      <c r="AA41" s="277"/>
      <c r="AB41" s="277"/>
      <c r="AC41" s="277"/>
      <c r="AD41" s="277"/>
      <c r="AE41" s="277"/>
      <c r="AF41" s="277"/>
      <c r="AG41" s="277"/>
      <c r="AH41" s="277"/>
      <c r="AI41" s="277"/>
      <c r="AJ41" s="277"/>
      <c r="AK41" s="277"/>
      <c r="AL41" s="277"/>
      <c r="AM41" s="277"/>
      <c r="AN41" s="277"/>
      <c r="AO41" s="277"/>
      <c r="AP41" s="277"/>
      <c r="AQ41" s="277"/>
      <c r="AR41" s="277"/>
      <c r="AS41" s="276"/>
      <c r="AT41" s="277"/>
      <c r="AU41" s="277"/>
      <c r="AV41" s="276"/>
      <c r="AW41" s="236"/>
    </row>
    <row r="42" spans="1:49" s="240" customFormat="1">
      <c r="A42" s="276" t="s">
        <v>235</v>
      </c>
      <c r="B42" s="276"/>
      <c r="C42" s="276"/>
      <c r="D42" s="276"/>
      <c r="E42" s="276" t="s">
        <v>389</v>
      </c>
      <c r="F42" s="276" t="s">
        <v>295</v>
      </c>
      <c r="G42" s="276" t="s">
        <v>116</v>
      </c>
      <c r="H42" s="236" t="s">
        <v>270</v>
      </c>
      <c r="I42" s="276" t="s">
        <v>390</v>
      </c>
      <c r="J42" s="276" t="s">
        <v>391</v>
      </c>
      <c r="K42" s="276">
        <v>0.34</v>
      </c>
      <c r="L42" s="277" t="s">
        <v>190</v>
      </c>
      <c r="M42" s="276">
        <v>1992</v>
      </c>
      <c r="N42" s="276"/>
      <c r="O42" s="276"/>
      <c r="P42" s="276"/>
      <c r="Q42" s="276"/>
      <c r="R42" s="277"/>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t="s">
        <v>180</v>
      </c>
      <c r="AU42" s="276"/>
      <c r="AV42" s="276"/>
      <c r="AW42" s="236"/>
    </row>
    <row r="43" spans="1:49" s="240" customFormat="1">
      <c r="A43" s="276" t="s">
        <v>235</v>
      </c>
      <c r="B43" s="276"/>
      <c r="C43" s="276"/>
      <c r="D43" s="276"/>
      <c r="E43" s="276" t="s">
        <v>392</v>
      </c>
      <c r="F43" s="277" t="s">
        <v>257</v>
      </c>
      <c r="G43" s="276" t="s">
        <v>116</v>
      </c>
      <c r="H43" s="198" t="s">
        <v>258</v>
      </c>
      <c r="I43" s="276" t="s">
        <v>393</v>
      </c>
      <c r="J43" s="276" t="s">
        <v>391</v>
      </c>
      <c r="K43" s="276" t="s">
        <v>394</v>
      </c>
      <c r="L43" s="277" t="s">
        <v>190</v>
      </c>
      <c r="M43" s="276">
        <v>1995</v>
      </c>
      <c r="N43" s="276"/>
      <c r="O43" s="276"/>
      <c r="P43" s="276"/>
      <c r="Q43" s="276"/>
      <c r="R43" s="277"/>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c r="AV43" s="276"/>
      <c r="AW43" s="236"/>
    </row>
    <row r="44" spans="1:49" s="240" customFormat="1">
      <c r="A44" s="276" t="s">
        <v>235</v>
      </c>
      <c r="B44" s="276"/>
      <c r="C44" s="276"/>
      <c r="D44" s="276"/>
      <c r="E44" s="276" t="s">
        <v>395</v>
      </c>
      <c r="F44" s="276" t="s">
        <v>295</v>
      </c>
      <c r="G44" s="276" t="s">
        <v>116</v>
      </c>
      <c r="H44" s="236" t="s">
        <v>270</v>
      </c>
      <c r="I44" s="276" t="s">
        <v>396</v>
      </c>
      <c r="J44" s="276" t="s">
        <v>391</v>
      </c>
      <c r="K44" s="276">
        <v>2.9</v>
      </c>
      <c r="L44" s="277" t="s">
        <v>190</v>
      </c>
      <c r="M44" s="276">
        <v>1995</v>
      </c>
      <c r="N44" s="276"/>
      <c r="O44" s="276"/>
      <c r="P44" s="276"/>
      <c r="Q44" s="276"/>
      <c r="R44" s="277"/>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t="s">
        <v>180</v>
      </c>
      <c r="AU44" s="276"/>
      <c r="AV44" s="276"/>
      <c r="AW44" s="236"/>
    </row>
    <row r="45" spans="1:49" s="240" customFormat="1">
      <c r="A45" s="276" t="s">
        <v>235</v>
      </c>
      <c r="B45" s="276"/>
      <c r="C45" s="276"/>
      <c r="D45" s="276"/>
      <c r="E45" s="276" t="s">
        <v>397</v>
      </c>
      <c r="F45" s="277" t="s">
        <v>257</v>
      </c>
      <c r="G45" s="276" t="s">
        <v>116</v>
      </c>
      <c r="H45" s="198" t="s">
        <v>258</v>
      </c>
      <c r="I45" s="276" t="s">
        <v>398</v>
      </c>
      <c r="J45" s="276" t="s">
        <v>391</v>
      </c>
      <c r="K45" s="276">
        <v>38.92</v>
      </c>
      <c r="L45" s="277" t="s">
        <v>190</v>
      </c>
      <c r="M45" s="276">
        <v>1999</v>
      </c>
      <c r="N45" s="276"/>
      <c r="O45" s="276"/>
      <c r="P45" s="276"/>
      <c r="Q45" s="276"/>
      <c r="R45" s="277"/>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t="s">
        <v>180</v>
      </c>
      <c r="AU45" s="276"/>
      <c r="AV45" s="276"/>
      <c r="AW45" s="236"/>
    </row>
    <row r="46" spans="1:49" s="240" customFormat="1">
      <c r="A46" s="276" t="s">
        <v>235</v>
      </c>
      <c r="B46" s="276"/>
      <c r="C46" s="276"/>
      <c r="D46" s="276"/>
      <c r="E46" s="276" t="s">
        <v>399</v>
      </c>
      <c r="F46" s="277" t="s">
        <v>257</v>
      </c>
      <c r="G46" s="276" t="s">
        <v>116</v>
      </c>
      <c r="H46" s="198" t="s">
        <v>258</v>
      </c>
      <c r="I46" s="276" t="s">
        <v>400</v>
      </c>
      <c r="J46" s="276" t="s">
        <v>391</v>
      </c>
      <c r="K46" s="276">
        <v>10000</v>
      </c>
      <c r="L46" s="277" t="s">
        <v>190</v>
      </c>
      <c r="M46" s="276">
        <v>2001</v>
      </c>
      <c r="N46" s="276"/>
      <c r="O46" s="276"/>
      <c r="P46" s="276"/>
      <c r="Q46" s="276"/>
      <c r="R46" s="277"/>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c r="AV46" s="276"/>
      <c r="AW46" s="236"/>
    </row>
    <row r="47" spans="1:49">
      <c r="A47" s="276" t="s">
        <v>235</v>
      </c>
      <c r="B47" s="276"/>
      <c r="C47" s="276"/>
      <c r="D47" s="276"/>
      <c r="E47" s="276" t="s">
        <v>401</v>
      </c>
      <c r="F47" s="276" t="s">
        <v>295</v>
      </c>
      <c r="G47" s="276" t="s">
        <v>116</v>
      </c>
      <c r="H47" s="236" t="s">
        <v>270</v>
      </c>
      <c r="I47" s="276" t="s">
        <v>402</v>
      </c>
      <c r="J47" s="276" t="s">
        <v>391</v>
      </c>
      <c r="K47" s="276">
        <v>16</v>
      </c>
      <c r="L47" s="277" t="s">
        <v>190</v>
      </c>
      <c r="M47" s="276">
        <v>2007</v>
      </c>
      <c r="N47" s="276"/>
      <c r="O47" s="276"/>
      <c r="P47" s="276"/>
      <c r="Q47" s="276"/>
      <c r="R47" s="277"/>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t="s">
        <v>180</v>
      </c>
      <c r="AU47" s="276"/>
      <c r="AV47" s="276"/>
      <c r="AW47" s="236"/>
    </row>
    <row r="48" spans="1:49" s="240" customFormat="1">
      <c r="A48" s="276" t="s">
        <v>235</v>
      </c>
      <c r="B48" s="276"/>
      <c r="C48" s="276"/>
      <c r="D48" s="276"/>
      <c r="E48" s="276" t="s">
        <v>403</v>
      </c>
      <c r="F48" s="276" t="s">
        <v>172</v>
      </c>
      <c r="G48" s="276" t="s">
        <v>116</v>
      </c>
      <c r="H48" s="236" t="s">
        <v>270</v>
      </c>
      <c r="I48" s="276" t="s">
        <v>404</v>
      </c>
      <c r="J48" s="276" t="s">
        <v>361</v>
      </c>
      <c r="K48" s="276">
        <v>5296.16</v>
      </c>
      <c r="L48" s="277" t="s">
        <v>190</v>
      </c>
      <c r="M48" s="276">
        <v>1998</v>
      </c>
      <c r="N48" s="276"/>
      <c r="O48" s="276"/>
      <c r="P48" s="276"/>
      <c r="Q48" s="276"/>
      <c r="R48" s="277"/>
      <c r="S48" s="276"/>
      <c r="T48" s="276"/>
      <c r="U48" s="276"/>
      <c r="V48" s="276"/>
      <c r="W48" s="276">
        <v>0</v>
      </c>
      <c r="X48" s="276">
        <v>0</v>
      </c>
      <c r="Y48" s="276">
        <v>0</v>
      </c>
      <c r="Z48" s="276"/>
      <c r="AA48" s="276">
        <v>0</v>
      </c>
      <c r="AB48" s="276">
        <v>0</v>
      </c>
      <c r="AC48" s="276"/>
      <c r="AD48" s="276"/>
      <c r="AE48" s="276"/>
      <c r="AF48" s="276"/>
      <c r="AG48" s="276"/>
      <c r="AH48" s="276"/>
      <c r="AI48" s="276"/>
      <c r="AJ48" s="276"/>
      <c r="AK48" s="276"/>
      <c r="AL48" s="276"/>
      <c r="AM48" s="276"/>
      <c r="AN48" s="276"/>
      <c r="AO48" s="276"/>
      <c r="AP48" s="276"/>
      <c r="AQ48" s="276"/>
      <c r="AR48" s="276"/>
      <c r="AS48" s="276"/>
      <c r="AT48" s="276" t="s">
        <v>180</v>
      </c>
      <c r="AU48" s="276"/>
      <c r="AV48" s="276"/>
      <c r="AW48" s="236"/>
    </row>
    <row r="49" spans="1:49" s="240" customFormat="1">
      <c r="A49" s="276" t="s">
        <v>169</v>
      </c>
      <c r="B49" s="198">
        <v>2923</v>
      </c>
      <c r="C49" s="213">
        <v>910422923</v>
      </c>
      <c r="D49" s="276"/>
      <c r="E49" s="197" t="s">
        <v>405</v>
      </c>
      <c r="F49" s="277" t="s">
        <v>257</v>
      </c>
      <c r="G49" s="276" t="s">
        <v>116</v>
      </c>
      <c r="H49" s="236" t="s">
        <v>270</v>
      </c>
      <c r="I49" s="276" t="s">
        <v>406</v>
      </c>
      <c r="J49" s="198" t="s">
        <v>286</v>
      </c>
      <c r="K49" s="213">
        <v>40178</v>
      </c>
      <c r="L49" s="277" t="s">
        <v>190</v>
      </c>
      <c r="M49" s="276">
        <v>1997</v>
      </c>
      <c r="N49" s="198">
        <v>1997</v>
      </c>
      <c r="O49" s="198" t="s">
        <v>193</v>
      </c>
      <c r="P49" s="198" t="s">
        <v>121</v>
      </c>
      <c r="Q49" s="198" t="s">
        <v>121</v>
      </c>
      <c r="R49" s="198" t="s">
        <v>288</v>
      </c>
      <c r="S49" s="198">
        <v>1</v>
      </c>
      <c r="T49" s="213">
        <v>40492</v>
      </c>
      <c r="U49" s="213">
        <v>40492</v>
      </c>
      <c r="V49" s="198"/>
      <c r="W49" s="198">
        <v>0</v>
      </c>
      <c r="X49" s="198">
        <v>0</v>
      </c>
      <c r="Y49" s="198">
        <v>0</v>
      </c>
      <c r="Z49" s="213">
        <v>40492</v>
      </c>
      <c r="AA49" s="198">
        <v>0</v>
      </c>
      <c r="AB49" s="198">
        <v>0</v>
      </c>
      <c r="AC49" s="198">
        <v>0</v>
      </c>
      <c r="AD49" s="198" t="s">
        <v>145</v>
      </c>
      <c r="AE49" s="198">
        <v>0</v>
      </c>
      <c r="AF49" s="198" t="s">
        <v>208</v>
      </c>
      <c r="AG49" s="198">
        <v>0</v>
      </c>
      <c r="AH49" s="198">
        <v>1</v>
      </c>
      <c r="AI49" s="198"/>
      <c r="AJ49" s="198">
        <v>0</v>
      </c>
      <c r="AK49" s="198">
        <v>1</v>
      </c>
      <c r="AL49" s="198">
        <v>1</v>
      </c>
      <c r="AM49" s="198"/>
      <c r="AN49" s="198"/>
      <c r="AO49" s="198"/>
      <c r="AP49" s="198"/>
      <c r="AQ49" s="198">
        <v>555576231</v>
      </c>
      <c r="AR49" s="276"/>
      <c r="AS49" s="276"/>
      <c r="AT49" s="276" t="s">
        <v>180</v>
      </c>
      <c r="AU49" s="250" t="s">
        <v>407</v>
      </c>
      <c r="AV49" s="276"/>
      <c r="AW49" s="236"/>
    </row>
    <row r="50" spans="1:49" s="240" customFormat="1" ht="30.75">
      <c r="A50" s="236" t="s">
        <v>169</v>
      </c>
      <c r="B50" s="236">
        <v>1089</v>
      </c>
      <c r="C50" s="236" t="s">
        <v>408</v>
      </c>
      <c r="D50" s="236"/>
      <c r="E50" s="236" t="s">
        <v>409</v>
      </c>
      <c r="F50" s="276" t="s">
        <v>54</v>
      </c>
      <c r="G50" s="276" t="s">
        <v>173</v>
      </c>
      <c r="H50" s="236" t="s">
        <v>270</v>
      </c>
      <c r="I50" s="199" t="s">
        <v>410</v>
      </c>
      <c r="J50" s="236" t="s">
        <v>411</v>
      </c>
      <c r="K50" s="236">
        <v>3</v>
      </c>
      <c r="L50" s="277" t="s">
        <v>190</v>
      </c>
      <c r="M50" s="276">
        <v>1997</v>
      </c>
      <c r="N50" s="276">
        <v>1997</v>
      </c>
      <c r="O50" s="236" t="s">
        <v>193</v>
      </c>
      <c r="P50" s="236" t="s">
        <v>199</v>
      </c>
      <c r="Q50" s="236" t="s">
        <v>199</v>
      </c>
      <c r="R50" s="238" t="s">
        <v>181</v>
      </c>
      <c r="S50" s="236">
        <v>0</v>
      </c>
      <c r="T50" s="236">
        <v>3</v>
      </c>
      <c r="U50" s="236">
        <v>3</v>
      </c>
      <c r="V50" s="236"/>
      <c r="W50" s="236">
        <v>0</v>
      </c>
      <c r="X50" s="236">
        <v>0</v>
      </c>
      <c r="Y50" s="236">
        <v>0</v>
      </c>
      <c r="Z50" s="236">
        <v>3</v>
      </c>
      <c r="AA50" s="236">
        <v>0</v>
      </c>
      <c r="AB50" s="236">
        <v>0</v>
      </c>
      <c r="AC50" s="236">
        <v>0</v>
      </c>
      <c r="AD50" s="236" t="s">
        <v>145</v>
      </c>
      <c r="AE50" s="236">
        <v>0</v>
      </c>
      <c r="AF50" s="236" t="s">
        <v>208</v>
      </c>
      <c r="AG50" s="236">
        <v>0</v>
      </c>
      <c r="AH50" s="236">
        <v>1</v>
      </c>
      <c r="AI50" s="236"/>
      <c r="AJ50" s="236">
        <v>0</v>
      </c>
      <c r="AK50" s="236">
        <v>0</v>
      </c>
      <c r="AL50" s="236">
        <v>0</v>
      </c>
      <c r="AM50" s="236"/>
      <c r="AN50" s="236"/>
      <c r="AO50" s="236"/>
      <c r="AP50" s="236"/>
      <c r="AQ50" s="236">
        <v>555682496</v>
      </c>
      <c r="AR50" s="236" t="s">
        <v>193</v>
      </c>
      <c r="AS50" s="236" t="s">
        <v>193</v>
      </c>
      <c r="AT50" s="236" t="s">
        <v>180</v>
      </c>
      <c r="AU50" s="199"/>
      <c r="AV50" s="236"/>
      <c r="AW50" s="236"/>
    </row>
    <row r="51" spans="1:49" s="240" customFormat="1" ht="30.75">
      <c r="A51" s="276" t="s">
        <v>169</v>
      </c>
      <c r="B51" s="236">
        <v>3122</v>
      </c>
      <c r="C51" s="236" t="s">
        <v>412</v>
      </c>
      <c r="D51" s="276"/>
      <c r="E51" s="276" t="s">
        <v>413</v>
      </c>
      <c r="F51" s="276" t="s">
        <v>172</v>
      </c>
      <c r="G51" s="276" t="s">
        <v>116</v>
      </c>
      <c r="H51" s="236" t="s">
        <v>174</v>
      </c>
      <c r="I51" s="276" t="s">
        <v>414</v>
      </c>
      <c r="J51" s="236" t="s">
        <v>415</v>
      </c>
      <c r="K51" s="276">
        <v>234.42</v>
      </c>
      <c r="L51" s="277" t="s">
        <v>190</v>
      </c>
      <c r="M51" s="276">
        <v>1997</v>
      </c>
      <c r="N51" s="200">
        <v>2007</v>
      </c>
      <c r="O51" s="276" t="s">
        <v>416</v>
      </c>
      <c r="P51" s="276" t="s">
        <v>180</v>
      </c>
      <c r="Q51" s="276" t="s">
        <v>199</v>
      </c>
      <c r="R51" s="277" t="s">
        <v>417</v>
      </c>
      <c r="S51" s="236">
        <v>0</v>
      </c>
      <c r="T51" s="236">
        <v>234</v>
      </c>
      <c r="U51" s="236">
        <v>234</v>
      </c>
      <c r="V51" s="236"/>
      <c r="W51" s="236">
        <v>0</v>
      </c>
      <c r="X51" s="236">
        <v>0</v>
      </c>
      <c r="Y51" s="236">
        <v>0</v>
      </c>
      <c r="Z51" s="236">
        <v>234</v>
      </c>
      <c r="AA51" s="236">
        <v>0</v>
      </c>
      <c r="AB51" s="236">
        <v>0</v>
      </c>
      <c r="AC51" s="236">
        <v>0</v>
      </c>
      <c r="AD51" s="236" t="s">
        <v>145</v>
      </c>
      <c r="AE51" s="236">
        <v>0</v>
      </c>
      <c r="AF51" s="236" t="s">
        <v>182</v>
      </c>
      <c r="AG51" s="236">
        <v>1</v>
      </c>
      <c r="AH51" s="236">
        <v>0</v>
      </c>
      <c r="AI51" s="236"/>
      <c r="AJ51" s="236">
        <v>0</v>
      </c>
      <c r="AK51" s="236">
        <v>0</v>
      </c>
      <c r="AL51" s="236">
        <v>0</v>
      </c>
      <c r="AM51" s="236"/>
      <c r="AN51" s="236"/>
      <c r="AO51" s="236"/>
      <c r="AP51" s="236"/>
      <c r="AQ51" s="236">
        <v>555682423</v>
      </c>
      <c r="AR51" s="276"/>
      <c r="AS51" s="276"/>
      <c r="AT51" s="276" t="s">
        <v>319</v>
      </c>
      <c r="AU51" s="250" t="s">
        <v>418</v>
      </c>
      <c r="AV51" s="276"/>
      <c r="AW51" s="236"/>
    </row>
    <row r="52" spans="1:49">
      <c r="A52" s="276" t="s">
        <v>235</v>
      </c>
      <c r="B52" s="276"/>
      <c r="C52" s="276"/>
      <c r="D52" s="276"/>
      <c r="E52" s="276" t="s">
        <v>419</v>
      </c>
      <c r="F52" s="276" t="s">
        <v>172</v>
      </c>
      <c r="G52" s="276" t="s">
        <v>116</v>
      </c>
      <c r="H52" s="236" t="s">
        <v>270</v>
      </c>
      <c r="I52" s="276" t="s">
        <v>420</v>
      </c>
      <c r="J52" s="276" t="s">
        <v>361</v>
      </c>
      <c r="K52" s="276">
        <v>6.7</v>
      </c>
      <c r="L52" s="277" t="s">
        <v>190</v>
      </c>
      <c r="M52" s="276">
        <v>2002</v>
      </c>
      <c r="N52" s="276"/>
      <c r="O52" s="276"/>
      <c r="P52" s="276"/>
      <c r="Q52" s="276"/>
      <c r="R52" s="277"/>
      <c r="S52" s="276"/>
      <c r="T52" s="276"/>
      <c r="U52" s="276"/>
      <c r="V52" s="276"/>
      <c r="W52" s="276">
        <v>0</v>
      </c>
      <c r="X52" s="276">
        <v>0</v>
      </c>
      <c r="Y52" s="276">
        <v>0</v>
      </c>
      <c r="Z52" s="276"/>
      <c r="AA52" s="276">
        <v>0</v>
      </c>
      <c r="AB52" s="276">
        <v>0</v>
      </c>
      <c r="AC52" s="276"/>
      <c r="AD52" s="276"/>
      <c r="AE52" s="276"/>
      <c r="AF52" s="276"/>
      <c r="AG52" s="276"/>
      <c r="AH52" s="276"/>
      <c r="AI52" s="276"/>
      <c r="AJ52" s="276"/>
      <c r="AK52" s="276"/>
      <c r="AL52" s="276"/>
      <c r="AM52" s="276"/>
      <c r="AN52" s="276"/>
      <c r="AO52" s="276"/>
      <c r="AP52" s="276"/>
      <c r="AQ52" s="276"/>
      <c r="AR52" s="276"/>
      <c r="AS52" s="276"/>
      <c r="AT52" s="276" t="s">
        <v>180</v>
      </c>
      <c r="AU52" s="276"/>
      <c r="AV52" s="276"/>
      <c r="AW52" s="236"/>
    </row>
    <row r="53" spans="1:49" s="240" customFormat="1">
      <c r="A53" s="276" t="s">
        <v>235</v>
      </c>
      <c r="B53" s="276"/>
      <c r="C53" s="276"/>
      <c r="D53" s="276"/>
      <c r="E53" s="276" t="s">
        <v>421</v>
      </c>
      <c r="F53" s="276" t="s">
        <v>172</v>
      </c>
      <c r="G53" s="276" t="s">
        <v>116</v>
      </c>
      <c r="H53" s="236" t="s">
        <v>270</v>
      </c>
      <c r="I53" s="276" t="s">
        <v>422</v>
      </c>
      <c r="J53" s="276" t="s">
        <v>361</v>
      </c>
      <c r="K53" s="276">
        <v>18</v>
      </c>
      <c r="L53" s="277" t="s">
        <v>190</v>
      </c>
      <c r="M53" s="276">
        <v>2011</v>
      </c>
      <c r="N53" s="276"/>
      <c r="O53" s="276"/>
      <c r="P53" s="276"/>
      <c r="Q53" s="276"/>
      <c r="R53" s="277"/>
      <c r="S53" s="276"/>
      <c r="T53" s="276"/>
      <c r="U53" s="276"/>
      <c r="V53" s="276"/>
      <c r="W53" s="276">
        <v>0</v>
      </c>
      <c r="X53" s="276">
        <v>0</v>
      </c>
      <c r="Y53" s="276">
        <v>0</v>
      </c>
      <c r="Z53" s="276"/>
      <c r="AA53" s="276">
        <v>0</v>
      </c>
      <c r="AB53" s="276">
        <v>0</v>
      </c>
      <c r="AC53" s="276"/>
      <c r="AD53" s="276"/>
      <c r="AE53" s="276"/>
      <c r="AF53" s="276"/>
      <c r="AG53" s="276"/>
      <c r="AH53" s="276"/>
      <c r="AI53" s="276"/>
      <c r="AJ53" s="276"/>
      <c r="AK53" s="276"/>
      <c r="AL53" s="276"/>
      <c r="AM53" s="276"/>
      <c r="AN53" s="276"/>
      <c r="AO53" s="276"/>
      <c r="AP53" s="276"/>
      <c r="AQ53" s="276"/>
      <c r="AR53" s="276"/>
      <c r="AS53" s="276"/>
      <c r="AT53" s="276"/>
      <c r="AU53" s="276"/>
      <c r="AV53" s="276"/>
      <c r="AW53" s="236"/>
    </row>
    <row r="54" spans="1:49" s="240" customFormat="1" ht="32.25" customHeight="1">
      <c r="A54" s="276" t="s">
        <v>235</v>
      </c>
      <c r="B54" s="276"/>
      <c r="C54" s="276"/>
      <c r="D54" s="276"/>
      <c r="E54" s="276" t="s">
        <v>423</v>
      </c>
      <c r="F54" s="276" t="s">
        <v>172</v>
      </c>
      <c r="G54" s="276" t="s">
        <v>116</v>
      </c>
      <c r="H54" s="236" t="s">
        <v>270</v>
      </c>
      <c r="I54" s="276" t="s">
        <v>424</v>
      </c>
      <c r="J54" s="276" t="s">
        <v>361</v>
      </c>
      <c r="K54" s="276">
        <v>22.29</v>
      </c>
      <c r="L54" s="277" t="s">
        <v>190</v>
      </c>
      <c r="M54" s="276">
        <v>2016</v>
      </c>
      <c r="N54" s="276"/>
      <c r="O54" s="276"/>
      <c r="P54" s="276"/>
      <c r="Q54" s="276"/>
      <c r="R54" s="277"/>
      <c r="S54" s="276"/>
      <c r="T54" s="276"/>
      <c r="U54" s="276"/>
      <c r="V54" s="276"/>
      <c r="W54" s="276">
        <v>0</v>
      </c>
      <c r="X54" s="276">
        <v>0</v>
      </c>
      <c r="Y54" s="276">
        <v>0</v>
      </c>
      <c r="Z54" s="276"/>
      <c r="AA54" s="276">
        <v>0</v>
      </c>
      <c r="AB54" s="276">
        <v>0</v>
      </c>
      <c r="AC54" s="276"/>
      <c r="AD54" s="276"/>
      <c r="AE54" s="276"/>
      <c r="AF54" s="276"/>
      <c r="AG54" s="276"/>
      <c r="AH54" s="276"/>
      <c r="AI54" s="276"/>
      <c r="AJ54" s="276"/>
      <c r="AK54" s="276"/>
      <c r="AL54" s="276"/>
      <c r="AM54" s="276"/>
      <c r="AN54" s="276"/>
      <c r="AO54" s="276"/>
      <c r="AP54" s="276"/>
      <c r="AQ54" s="276"/>
      <c r="AR54" s="276"/>
      <c r="AS54" s="276"/>
      <c r="AT54" s="276" t="s">
        <v>180</v>
      </c>
      <c r="AU54" s="276"/>
      <c r="AV54" s="276"/>
      <c r="AW54" s="236"/>
    </row>
    <row r="55" spans="1:49" s="240" customFormat="1">
      <c r="A55" s="276" t="s">
        <v>169</v>
      </c>
      <c r="B55" s="198">
        <v>2945</v>
      </c>
      <c r="C55" s="213">
        <v>1500422945</v>
      </c>
      <c r="D55" s="276"/>
      <c r="E55" s="276" t="s">
        <v>425</v>
      </c>
      <c r="F55" s="277" t="s">
        <v>257</v>
      </c>
      <c r="G55" s="276" t="s">
        <v>116</v>
      </c>
      <c r="H55" s="198" t="s">
        <v>258</v>
      </c>
      <c r="I55" s="276" t="s">
        <v>426</v>
      </c>
      <c r="J55" s="198" t="s">
        <v>427</v>
      </c>
      <c r="K55" s="198">
        <v>16000</v>
      </c>
      <c r="L55" s="277" t="s">
        <v>190</v>
      </c>
      <c r="M55" s="276">
        <v>1998</v>
      </c>
      <c r="N55" s="198">
        <v>2006</v>
      </c>
      <c r="O55" s="198" t="s">
        <v>428</v>
      </c>
      <c r="P55" s="198" t="s">
        <v>199</v>
      </c>
      <c r="Q55" s="198" t="s">
        <v>121</v>
      </c>
      <c r="R55" s="198" t="s">
        <v>429</v>
      </c>
      <c r="S55" s="198">
        <v>1</v>
      </c>
      <c r="T55" s="213">
        <v>15558</v>
      </c>
      <c r="U55" s="213">
        <v>15558</v>
      </c>
      <c r="V55" s="198"/>
      <c r="W55" s="198">
        <v>0</v>
      </c>
      <c r="X55" s="198">
        <v>0</v>
      </c>
      <c r="Y55" s="198">
        <v>0</v>
      </c>
      <c r="Z55" s="213">
        <v>15558</v>
      </c>
      <c r="AA55" s="198">
        <v>0</v>
      </c>
      <c r="AB55" s="198">
        <v>0</v>
      </c>
      <c r="AC55" s="198">
        <v>0</v>
      </c>
      <c r="AD55" s="198" t="s">
        <v>145</v>
      </c>
      <c r="AE55" s="198">
        <v>0</v>
      </c>
      <c r="AF55" s="198" t="s">
        <v>208</v>
      </c>
      <c r="AG55" s="198">
        <v>0</v>
      </c>
      <c r="AH55" s="198">
        <v>1</v>
      </c>
      <c r="AI55" s="198"/>
      <c r="AJ55" s="198">
        <v>0</v>
      </c>
      <c r="AK55" s="198">
        <v>0</v>
      </c>
      <c r="AL55" s="198">
        <v>0</v>
      </c>
      <c r="AM55" s="198"/>
      <c r="AN55" s="198"/>
      <c r="AO55" s="198"/>
      <c r="AP55" s="198"/>
      <c r="AQ55" s="198">
        <v>555758894</v>
      </c>
      <c r="AR55" s="276"/>
      <c r="AS55" s="276"/>
      <c r="AT55" s="276" t="s">
        <v>180</v>
      </c>
      <c r="AU55" s="250" t="s">
        <v>430</v>
      </c>
      <c r="AV55" s="276"/>
      <c r="AW55" s="236"/>
    </row>
    <row r="56" spans="1:49" s="240" customFormat="1">
      <c r="A56" s="276" t="s">
        <v>169</v>
      </c>
      <c r="B56" s="198">
        <v>4599</v>
      </c>
      <c r="C56" s="213">
        <v>3303424599</v>
      </c>
      <c r="D56" s="276"/>
      <c r="E56" s="276" t="s">
        <v>431</v>
      </c>
      <c r="F56" s="277" t="s">
        <v>257</v>
      </c>
      <c r="G56" s="276" t="s">
        <v>116</v>
      </c>
      <c r="H56" s="198" t="s">
        <v>258</v>
      </c>
      <c r="I56" s="276" t="s">
        <v>432</v>
      </c>
      <c r="J56" s="198" t="s">
        <v>433</v>
      </c>
      <c r="K56" s="198">
        <v>6690</v>
      </c>
      <c r="L56" s="277" t="s">
        <v>190</v>
      </c>
      <c r="M56" s="276">
        <v>1998</v>
      </c>
      <c r="N56" s="198">
        <v>2019</v>
      </c>
      <c r="O56" s="198" t="s">
        <v>434</v>
      </c>
      <c r="P56" s="198" t="s">
        <v>199</v>
      </c>
      <c r="Q56" s="198" t="s">
        <v>199</v>
      </c>
      <c r="R56" s="198" t="s">
        <v>435</v>
      </c>
      <c r="S56" s="198">
        <v>1</v>
      </c>
      <c r="T56" s="213">
        <v>8246</v>
      </c>
      <c r="U56" s="213">
        <v>8246</v>
      </c>
      <c r="V56" s="198"/>
      <c r="W56" s="198">
        <v>0</v>
      </c>
      <c r="X56" s="198">
        <v>0</v>
      </c>
      <c r="Y56" s="198">
        <v>0</v>
      </c>
      <c r="Z56" s="213">
        <v>8246</v>
      </c>
      <c r="AA56" s="198">
        <v>0</v>
      </c>
      <c r="AB56" s="198">
        <v>0</v>
      </c>
      <c r="AC56" s="198">
        <v>0</v>
      </c>
      <c r="AD56" s="198" t="s">
        <v>145</v>
      </c>
      <c r="AE56" s="198">
        <v>0</v>
      </c>
      <c r="AF56" s="198" t="s">
        <v>208</v>
      </c>
      <c r="AG56" s="198">
        <v>0</v>
      </c>
      <c r="AH56" s="198">
        <v>1</v>
      </c>
      <c r="AI56" s="198"/>
      <c r="AJ56" s="198">
        <v>0</v>
      </c>
      <c r="AK56" s="198">
        <v>0</v>
      </c>
      <c r="AL56" s="198">
        <v>0</v>
      </c>
      <c r="AM56" s="198"/>
      <c r="AN56" s="198"/>
      <c r="AO56" s="198"/>
      <c r="AP56" s="198"/>
      <c r="AQ56" s="198">
        <v>555783610</v>
      </c>
      <c r="AR56" s="276"/>
      <c r="AS56" s="276"/>
      <c r="AT56" s="276"/>
      <c r="AU56" s="250" t="s">
        <v>436</v>
      </c>
      <c r="AV56" s="276"/>
      <c r="AW56" s="236"/>
    </row>
    <row r="57" spans="1:49" s="240" customFormat="1">
      <c r="A57" s="276" t="s">
        <v>169</v>
      </c>
      <c r="B57" s="198">
        <v>2944</v>
      </c>
      <c r="C57" s="213">
        <v>1500422944</v>
      </c>
      <c r="D57" s="276"/>
      <c r="E57" s="276" t="s">
        <v>437</v>
      </c>
      <c r="F57" s="277" t="s">
        <v>257</v>
      </c>
      <c r="G57" s="276" t="s">
        <v>116</v>
      </c>
      <c r="H57" s="198" t="s">
        <v>258</v>
      </c>
      <c r="I57" s="276" t="s">
        <v>438</v>
      </c>
      <c r="J57" s="198" t="s">
        <v>427</v>
      </c>
      <c r="K57" s="198">
        <v>8100</v>
      </c>
      <c r="L57" s="277" t="s">
        <v>190</v>
      </c>
      <c r="M57" s="276">
        <v>1998</v>
      </c>
      <c r="N57" s="198">
        <v>2006</v>
      </c>
      <c r="O57" s="198" t="s">
        <v>439</v>
      </c>
      <c r="P57" s="198" t="s">
        <v>199</v>
      </c>
      <c r="Q57" s="198" t="s">
        <v>121</v>
      </c>
      <c r="R57" s="198" t="s">
        <v>429</v>
      </c>
      <c r="S57" s="198">
        <v>1</v>
      </c>
      <c r="T57" s="213">
        <v>7058</v>
      </c>
      <c r="U57" s="213">
        <v>7058</v>
      </c>
      <c r="V57" s="198"/>
      <c r="W57" s="198">
        <v>0</v>
      </c>
      <c r="X57" s="198">
        <v>0</v>
      </c>
      <c r="Y57" s="198">
        <v>0</v>
      </c>
      <c r="Z57" s="213">
        <v>7058</v>
      </c>
      <c r="AA57" s="198">
        <v>0</v>
      </c>
      <c r="AB57" s="198">
        <v>0</v>
      </c>
      <c r="AC57" s="198">
        <v>0</v>
      </c>
      <c r="AD57" s="198" t="s">
        <v>145</v>
      </c>
      <c r="AE57" s="198">
        <v>0</v>
      </c>
      <c r="AF57" s="198" t="s">
        <v>208</v>
      </c>
      <c r="AG57" s="198">
        <v>0</v>
      </c>
      <c r="AH57" s="198">
        <v>1</v>
      </c>
      <c r="AI57" s="198"/>
      <c r="AJ57" s="198">
        <v>0</v>
      </c>
      <c r="AK57" s="198">
        <v>0</v>
      </c>
      <c r="AL57" s="198">
        <v>0</v>
      </c>
      <c r="AM57" s="198"/>
      <c r="AN57" s="198"/>
      <c r="AO57" s="198"/>
      <c r="AP57" s="198"/>
      <c r="AQ57" s="198">
        <v>555758907</v>
      </c>
      <c r="AR57" s="276"/>
      <c r="AS57" s="276"/>
      <c r="AT57" s="276" t="s">
        <v>180</v>
      </c>
      <c r="AU57" s="250" t="s">
        <v>440</v>
      </c>
      <c r="AV57" s="276"/>
      <c r="AW57" s="236"/>
    </row>
    <row r="58" spans="1:49" s="240" customFormat="1">
      <c r="A58" s="276" t="s">
        <v>169</v>
      </c>
      <c r="B58" s="198">
        <v>4310</v>
      </c>
      <c r="C58" s="213">
        <v>1580424310</v>
      </c>
      <c r="D58" s="276"/>
      <c r="E58" s="276" t="s">
        <v>441</v>
      </c>
      <c r="F58" s="277" t="s">
        <v>257</v>
      </c>
      <c r="G58" s="276" t="s">
        <v>116</v>
      </c>
      <c r="H58" s="198" t="s">
        <v>258</v>
      </c>
      <c r="I58" s="276" t="s">
        <v>442</v>
      </c>
      <c r="J58" s="198" t="s">
        <v>443</v>
      </c>
      <c r="K58" s="198">
        <v>23000</v>
      </c>
      <c r="L58" s="277" t="s">
        <v>190</v>
      </c>
      <c r="M58" s="276">
        <v>1998</v>
      </c>
      <c r="N58" s="198">
        <v>2011</v>
      </c>
      <c r="O58" s="198" t="s">
        <v>444</v>
      </c>
      <c r="P58" s="198" t="s">
        <v>121</v>
      </c>
      <c r="Q58" s="198" t="s">
        <v>121</v>
      </c>
      <c r="R58" s="198" t="s">
        <v>445</v>
      </c>
      <c r="S58" s="198">
        <v>1</v>
      </c>
      <c r="T58" s="198">
        <v>23842.633590000001</v>
      </c>
      <c r="U58" s="198">
        <v>23842.633590000001</v>
      </c>
      <c r="V58" s="198"/>
      <c r="W58" s="198">
        <v>0</v>
      </c>
      <c r="X58" s="198">
        <v>0</v>
      </c>
      <c r="Y58" s="198">
        <v>0</v>
      </c>
      <c r="Z58" s="198">
        <v>23842.633590000001</v>
      </c>
      <c r="AA58" s="198">
        <v>0</v>
      </c>
      <c r="AB58" s="198">
        <v>0</v>
      </c>
      <c r="AC58" s="198">
        <v>0</v>
      </c>
      <c r="AD58" s="198" t="s">
        <v>145</v>
      </c>
      <c r="AE58" s="198">
        <v>0</v>
      </c>
      <c r="AF58" s="198" t="s">
        <v>208</v>
      </c>
      <c r="AG58" s="198">
        <v>0</v>
      </c>
      <c r="AH58" s="198">
        <v>1</v>
      </c>
      <c r="AI58" s="198"/>
      <c r="AJ58" s="198">
        <v>0</v>
      </c>
      <c r="AK58" s="198">
        <v>0</v>
      </c>
      <c r="AL58" s="198">
        <v>0</v>
      </c>
      <c r="AM58" s="198"/>
      <c r="AN58" s="198"/>
      <c r="AO58" s="198"/>
      <c r="AP58" s="198"/>
      <c r="AQ58" s="198">
        <v>555758909</v>
      </c>
      <c r="AR58" s="276"/>
      <c r="AS58" s="276"/>
      <c r="AT58" s="276" t="s">
        <v>180</v>
      </c>
      <c r="AU58" s="250" t="s">
        <v>446</v>
      </c>
      <c r="AV58" s="276"/>
      <c r="AW58" s="236"/>
    </row>
    <row r="59" spans="1:49" s="240" customFormat="1" ht="30.75">
      <c r="A59" s="236" t="s">
        <v>169</v>
      </c>
      <c r="B59" s="236">
        <v>1080</v>
      </c>
      <c r="C59" s="236" t="s">
        <v>447</v>
      </c>
      <c r="D59" s="236"/>
      <c r="E59" s="236" t="s">
        <v>448</v>
      </c>
      <c r="F59" s="276" t="s">
        <v>54</v>
      </c>
      <c r="G59" s="276" t="s">
        <v>173</v>
      </c>
      <c r="H59" s="236" t="s">
        <v>270</v>
      </c>
      <c r="I59" s="205" t="s">
        <v>449</v>
      </c>
      <c r="J59" s="236" t="s">
        <v>309</v>
      </c>
      <c r="K59" s="236">
        <v>900.39</v>
      </c>
      <c r="L59" s="277" t="s">
        <v>190</v>
      </c>
      <c r="M59" s="276">
        <v>1998</v>
      </c>
      <c r="N59" s="276">
        <v>1998</v>
      </c>
      <c r="O59" s="236" t="s">
        <v>193</v>
      </c>
      <c r="P59" s="236" t="s">
        <v>199</v>
      </c>
      <c r="Q59" s="236" t="s">
        <v>199</v>
      </c>
      <c r="R59" s="238" t="s">
        <v>181</v>
      </c>
      <c r="S59" s="236">
        <v>0</v>
      </c>
      <c r="T59" s="236">
        <v>559</v>
      </c>
      <c r="U59" s="236">
        <v>559</v>
      </c>
      <c r="V59" s="236"/>
      <c r="W59" s="236">
        <v>0</v>
      </c>
      <c r="X59" s="236">
        <v>0</v>
      </c>
      <c r="Y59" s="236">
        <v>0</v>
      </c>
      <c r="Z59" s="236">
        <v>559</v>
      </c>
      <c r="AA59" s="236">
        <v>0</v>
      </c>
      <c r="AB59" s="236">
        <v>0</v>
      </c>
      <c r="AC59" s="236">
        <v>0</v>
      </c>
      <c r="AD59" s="236" t="s">
        <v>145</v>
      </c>
      <c r="AE59" s="236">
        <v>0</v>
      </c>
      <c r="AF59" s="236" t="s">
        <v>208</v>
      </c>
      <c r="AG59" s="236">
        <v>0</v>
      </c>
      <c r="AH59" s="236">
        <v>1</v>
      </c>
      <c r="AI59" s="236"/>
      <c r="AJ59" s="236">
        <v>0</v>
      </c>
      <c r="AK59" s="236">
        <v>0</v>
      </c>
      <c r="AL59" s="236">
        <v>0</v>
      </c>
      <c r="AM59" s="236"/>
      <c r="AN59" s="236"/>
      <c r="AO59" s="236"/>
      <c r="AP59" s="236"/>
      <c r="AQ59" s="236">
        <v>555682498</v>
      </c>
      <c r="AR59" s="236" t="s">
        <v>193</v>
      </c>
      <c r="AS59" s="236" t="s">
        <v>193</v>
      </c>
      <c r="AT59" s="236" t="s">
        <v>180</v>
      </c>
      <c r="AU59" s="206"/>
      <c r="AV59" s="236"/>
      <c r="AW59" s="236"/>
    </row>
    <row r="60" spans="1:49" s="240" customFormat="1">
      <c r="A60" s="276" t="s">
        <v>235</v>
      </c>
      <c r="B60" s="276"/>
      <c r="C60" s="276"/>
      <c r="D60" s="276"/>
      <c r="E60" s="276" t="s">
        <v>450</v>
      </c>
      <c r="F60" s="276" t="s">
        <v>172</v>
      </c>
      <c r="G60" s="276" t="s">
        <v>116</v>
      </c>
      <c r="H60" s="236" t="s">
        <v>270</v>
      </c>
      <c r="I60" s="276" t="s">
        <v>451</v>
      </c>
      <c r="J60" s="276" t="s">
        <v>361</v>
      </c>
      <c r="K60" s="276">
        <v>3.0093999999999999</v>
      </c>
      <c r="L60" s="277" t="s">
        <v>190</v>
      </c>
      <c r="M60" s="276">
        <v>2021</v>
      </c>
      <c r="N60" s="276"/>
      <c r="O60" s="276"/>
      <c r="P60" s="276"/>
      <c r="Q60" s="276"/>
      <c r="R60" s="277"/>
      <c r="S60" s="276"/>
      <c r="T60" s="276"/>
      <c r="U60" s="276"/>
      <c r="V60" s="276"/>
      <c r="W60" s="276">
        <v>0</v>
      </c>
      <c r="X60" s="276">
        <v>0</v>
      </c>
      <c r="Y60" s="276">
        <v>0</v>
      </c>
      <c r="Z60" s="276"/>
      <c r="AA60" s="276">
        <v>0</v>
      </c>
      <c r="AB60" s="276">
        <v>0</v>
      </c>
      <c r="AC60" s="276"/>
      <c r="AD60" s="276"/>
      <c r="AE60" s="276"/>
      <c r="AF60" s="276"/>
      <c r="AG60" s="276"/>
      <c r="AH60" s="276"/>
      <c r="AI60" s="276"/>
      <c r="AJ60" s="276"/>
      <c r="AK60" s="276"/>
      <c r="AL60" s="276"/>
      <c r="AM60" s="276"/>
      <c r="AN60" s="276"/>
      <c r="AO60" s="276"/>
      <c r="AP60" s="276"/>
      <c r="AQ60" s="276"/>
      <c r="AR60" s="276"/>
      <c r="AS60" s="276"/>
      <c r="AT60" s="276" t="s">
        <v>180</v>
      </c>
      <c r="AU60" s="276"/>
      <c r="AV60" s="276"/>
      <c r="AW60" s="236"/>
    </row>
    <row r="61" spans="1:49">
      <c r="A61" s="276" t="s">
        <v>235</v>
      </c>
      <c r="B61" s="276"/>
      <c r="C61" s="276"/>
      <c r="D61" s="276"/>
      <c r="E61" s="276" t="s">
        <v>452</v>
      </c>
      <c r="F61" s="276" t="s">
        <v>172</v>
      </c>
      <c r="G61" s="276" t="s">
        <v>116</v>
      </c>
      <c r="H61" s="236" t="s">
        <v>270</v>
      </c>
      <c r="I61" s="276" t="s">
        <v>453</v>
      </c>
      <c r="J61" s="276" t="s">
        <v>454</v>
      </c>
      <c r="K61" s="276">
        <v>266.8</v>
      </c>
      <c r="L61" s="277" t="s">
        <v>190</v>
      </c>
      <c r="M61" s="276">
        <v>1994</v>
      </c>
      <c r="N61" s="276"/>
      <c r="O61" s="276"/>
      <c r="P61" s="276"/>
      <c r="Q61" s="276"/>
      <c r="R61" s="277"/>
      <c r="S61" s="276"/>
      <c r="T61" s="276"/>
      <c r="U61" s="276"/>
      <c r="V61" s="276"/>
      <c r="W61" s="276">
        <v>0</v>
      </c>
      <c r="X61" s="276">
        <v>0</v>
      </c>
      <c r="Y61" s="276">
        <v>0</v>
      </c>
      <c r="Z61" s="276"/>
      <c r="AA61" s="276">
        <v>0</v>
      </c>
      <c r="AB61" s="276">
        <v>0</v>
      </c>
      <c r="AC61" s="276"/>
      <c r="AD61" s="276"/>
      <c r="AE61" s="276"/>
      <c r="AF61" s="276"/>
      <c r="AG61" s="276"/>
      <c r="AH61" s="276"/>
      <c r="AI61" s="276"/>
      <c r="AJ61" s="276"/>
      <c r="AK61" s="276"/>
      <c r="AL61" s="276"/>
      <c r="AM61" s="276"/>
      <c r="AN61" s="276"/>
      <c r="AO61" s="276"/>
      <c r="AP61" s="276"/>
      <c r="AQ61" s="276"/>
      <c r="AR61" s="276"/>
      <c r="AS61" s="276"/>
      <c r="AT61" s="276" t="s">
        <v>180</v>
      </c>
      <c r="AU61" s="276"/>
      <c r="AV61" s="276"/>
      <c r="AW61" s="236"/>
    </row>
    <row r="62" spans="1:49">
      <c r="A62" s="276" t="s">
        <v>235</v>
      </c>
      <c r="B62" s="276"/>
      <c r="C62" s="276"/>
      <c r="D62" s="276"/>
      <c r="E62" s="276" t="s">
        <v>455</v>
      </c>
      <c r="F62" s="276" t="s">
        <v>172</v>
      </c>
      <c r="G62" s="276" t="s">
        <v>116</v>
      </c>
      <c r="H62" s="236" t="s">
        <v>270</v>
      </c>
      <c r="I62" s="276" t="s">
        <v>456</v>
      </c>
      <c r="J62" s="276" t="s">
        <v>454</v>
      </c>
      <c r="K62" s="276">
        <v>500</v>
      </c>
      <c r="L62" s="277" t="s">
        <v>190</v>
      </c>
      <c r="M62" s="276">
        <v>2001</v>
      </c>
      <c r="N62" s="276"/>
      <c r="O62" s="276"/>
      <c r="P62" s="276"/>
      <c r="Q62" s="276"/>
      <c r="R62" s="277"/>
      <c r="S62" s="276"/>
      <c r="T62" s="276"/>
      <c r="U62" s="276"/>
      <c r="V62" s="276"/>
      <c r="W62" s="276">
        <v>0</v>
      </c>
      <c r="X62" s="276">
        <v>0</v>
      </c>
      <c r="Y62" s="276">
        <v>0</v>
      </c>
      <c r="Z62" s="276"/>
      <c r="AA62" s="276">
        <v>0</v>
      </c>
      <c r="AB62" s="276">
        <v>0</v>
      </c>
      <c r="AC62" s="276"/>
      <c r="AD62" s="276"/>
      <c r="AE62" s="276"/>
      <c r="AF62" s="276"/>
      <c r="AG62" s="276"/>
      <c r="AH62" s="276"/>
      <c r="AI62" s="276"/>
      <c r="AJ62" s="276"/>
      <c r="AK62" s="276"/>
      <c r="AL62" s="276"/>
      <c r="AM62" s="276"/>
      <c r="AN62" s="276"/>
      <c r="AO62" s="276"/>
      <c r="AP62" s="276"/>
      <c r="AQ62" s="276"/>
      <c r="AR62" s="276"/>
      <c r="AS62" s="276"/>
      <c r="AT62" s="276" t="s">
        <v>180</v>
      </c>
      <c r="AU62" s="276"/>
      <c r="AV62" s="276"/>
      <c r="AW62" s="236"/>
    </row>
    <row r="63" spans="1:49">
      <c r="A63" s="276" t="s">
        <v>457</v>
      </c>
      <c r="B63" s="276"/>
      <c r="C63" s="276"/>
      <c r="D63" s="276"/>
      <c r="E63" s="276" t="s">
        <v>458</v>
      </c>
      <c r="F63" s="277" t="s">
        <v>257</v>
      </c>
      <c r="G63" s="276" t="s">
        <v>116</v>
      </c>
      <c r="H63" s="198" t="s">
        <v>258</v>
      </c>
      <c r="I63" s="276" t="s">
        <v>459</v>
      </c>
      <c r="J63" s="276" t="s">
        <v>460</v>
      </c>
      <c r="K63" s="276" t="s">
        <v>368</v>
      </c>
      <c r="L63" s="277" t="s">
        <v>190</v>
      </c>
      <c r="M63" s="276">
        <v>2003</v>
      </c>
      <c r="N63" s="276"/>
      <c r="O63" s="276"/>
      <c r="P63" s="276"/>
      <c r="Q63" s="276"/>
      <c r="R63" s="277"/>
      <c r="S63" s="276"/>
      <c r="T63" s="276"/>
      <c r="U63" s="276"/>
      <c r="V63" s="276"/>
      <c r="W63" s="276"/>
      <c r="X63" s="276"/>
      <c r="Y63" s="276"/>
      <c r="Z63" s="276"/>
      <c r="AA63" s="276"/>
      <c r="AB63" s="276"/>
      <c r="AC63" s="276"/>
      <c r="AD63" s="276"/>
      <c r="AE63" s="276"/>
      <c r="AF63" s="276"/>
      <c r="AG63" s="276"/>
      <c r="AH63" s="276"/>
      <c r="AI63" s="276"/>
      <c r="AJ63" s="276"/>
      <c r="AK63" s="276"/>
      <c r="AL63" s="276"/>
      <c r="AM63" s="276"/>
      <c r="AN63" s="276"/>
      <c r="AO63" s="276"/>
      <c r="AP63" s="276"/>
      <c r="AQ63" s="276"/>
      <c r="AR63" s="276"/>
      <c r="AS63" s="276"/>
      <c r="AT63" s="276" t="s">
        <v>180</v>
      </c>
      <c r="AU63" s="276"/>
      <c r="AV63" s="276"/>
      <c r="AW63" s="236"/>
    </row>
    <row r="64" spans="1:49">
      <c r="A64" s="276" t="s">
        <v>457</v>
      </c>
      <c r="B64" s="276"/>
      <c r="C64" s="276"/>
      <c r="D64" s="276"/>
      <c r="E64" s="276" t="s">
        <v>461</v>
      </c>
      <c r="F64" s="276" t="s">
        <v>172</v>
      </c>
      <c r="G64" s="276" t="s">
        <v>116</v>
      </c>
      <c r="H64" s="236" t="s">
        <v>270</v>
      </c>
      <c r="I64" s="276" t="s">
        <v>462</v>
      </c>
      <c r="J64" s="276" t="s">
        <v>463</v>
      </c>
      <c r="K64" s="276">
        <v>18</v>
      </c>
      <c r="L64" s="277" t="s">
        <v>190</v>
      </c>
      <c r="M64" s="276">
        <v>2017</v>
      </c>
      <c r="N64" s="276"/>
      <c r="O64" s="276" t="s">
        <v>464</v>
      </c>
      <c r="P64" s="276"/>
      <c r="Q64" s="276"/>
      <c r="R64" s="277"/>
      <c r="S64" s="276"/>
      <c r="T64" s="276"/>
      <c r="U64" s="276"/>
      <c r="V64" s="276"/>
      <c r="W64" s="276">
        <v>0</v>
      </c>
      <c r="X64" s="276">
        <v>0</v>
      </c>
      <c r="Y64" s="276">
        <v>0</v>
      </c>
      <c r="Z64" s="276"/>
      <c r="AA64" s="276">
        <v>0</v>
      </c>
      <c r="AB64" s="276">
        <v>0</v>
      </c>
      <c r="AC64" s="276"/>
      <c r="AD64" s="276"/>
      <c r="AE64" s="276"/>
      <c r="AF64" s="276"/>
      <c r="AG64" s="276"/>
      <c r="AH64" s="276"/>
      <c r="AI64" s="276"/>
      <c r="AJ64" s="276"/>
      <c r="AK64" s="276"/>
      <c r="AL64" s="276"/>
      <c r="AM64" s="276"/>
      <c r="AN64" s="276"/>
      <c r="AO64" s="276"/>
      <c r="AP64" s="276"/>
      <c r="AQ64" s="276"/>
      <c r="AR64" s="276"/>
      <c r="AS64" s="276"/>
      <c r="AT64" s="276" t="s">
        <v>180</v>
      </c>
      <c r="AU64" s="276"/>
      <c r="AV64" s="276"/>
      <c r="AW64" s="236"/>
    </row>
    <row r="65" spans="1:49" s="240" customFormat="1" ht="30.75">
      <c r="A65" s="236" t="s">
        <v>169</v>
      </c>
      <c r="B65" s="236">
        <v>1093</v>
      </c>
      <c r="C65" s="236" t="s">
        <v>465</v>
      </c>
      <c r="D65" s="236"/>
      <c r="E65" s="236" t="s">
        <v>466</v>
      </c>
      <c r="F65" s="276" t="s">
        <v>54</v>
      </c>
      <c r="G65" s="276" t="s">
        <v>173</v>
      </c>
      <c r="H65" s="236" t="s">
        <v>270</v>
      </c>
      <c r="I65" s="199" t="s">
        <v>467</v>
      </c>
      <c r="J65" s="236" t="s">
        <v>468</v>
      </c>
      <c r="K65" s="236">
        <v>10</v>
      </c>
      <c r="L65" s="277" t="s">
        <v>190</v>
      </c>
      <c r="M65" s="276">
        <v>1999</v>
      </c>
      <c r="N65" s="276">
        <v>1999</v>
      </c>
      <c r="O65" s="236" t="s">
        <v>193</v>
      </c>
      <c r="P65" s="236" t="s">
        <v>199</v>
      </c>
      <c r="Q65" s="236" t="s">
        <v>199</v>
      </c>
      <c r="R65" s="238" t="s">
        <v>181</v>
      </c>
      <c r="S65" s="236">
        <v>1</v>
      </c>
      <c r="T65" s="236">
        <v>10</v>
      </c>
      <c r="U65" s="236">
        <v>10</v>
      </c>
      <c r="V65" s="236"/>
      <c r="W65" s="236">
        <v>0</v>
      </c>
      <c r="X65" s="236">
        <v>0</v>
      </c>
      <c r="Y65" s="236">
        <v>0</v>
      </c>
      <c r="Z65" s="236">
        <v>10</v>
      </c>
      <c r="AA65" s="236">
        <v>0</v>
      </c>
      <c r="AB65" s="236">
        <v>0</v>
      </c>
      <c r="AC65" s="236">
        <v>0</v>
      </c>
      <c r="AD65" s="236" t="s">
        <v>145</v>
      </c>
      <c r="AE65" s="236">
        <v>0</v>
      </c>
      <c r="AF65" s="236" t="s">
        <v>208</v>
      </c>
      <c r="AG65" s="236">
        <v>0</v>
      </c>
      <c r="AH65" s="236">
        <v>1</v>
      </c>
      <c r="AI65" s="236"/>
      <c r="AJ65" s="236">
        <v>0</v>
      </c>
      <c r="AK65" s="236">
        <v>0</v>
      </c>
      <c r="AL65" s="236">
        <v>0</v>
      </c>
      <c r="AM65" s="236"/>
      <c r="AN65" s="236"/>
      <c r="AO65" s="236"/>
      <c r="AP65" s="236"/>
      <c r="AQ65" s="236">
        <v>555682492</v>
      </c>
      <c r="AR65" s="236" t="s">
        <v>193</v>
      </c>
      <c r="AS65" s="236" t="s">
        <v>193</v>
      </c>
      <c r="AT65" s="236" t="s">
        <v>180</v>
      </c>
      <c r="AU65" s="199"/>
      <c r="AV65" s="236"/>
      <c r="AW65" s="236"/>
    </row>
    <row r="66" spans="1:49" s="240" customFormat="1" ht="30.75">
      <c r="A66" s="236" t="s">
        <v>169</v>
      </c>
      <c r="B66" s="236">
        <v>1095</v>
      </c>
      <c r="C66" s="236" t="s">
        <v>469</v>
      </c>
      <c r="D66" s="236"/>
      <c r="E66" s="236" t="s">
        <v>470</v>
      </c>
      <c r="F66" s="276" t="s">
        <v>54</v>
      </c>
      <c r="G66" s="276" t="s">
        <v>173</v>
      </c>
      <c r="H66" s="236" t="s">
        <v>270</v>
      </c>
      <c r="I66" s="199" t="s">
        <v>471</v>
      </c>
      <c r="J66" s="236" t="s">
        <v>266</v>
      </c>
      <c r="K66" s="236">
        <v>44.16</v>
      </c>
      <c r="L66" s="277" t="s">
        <v>190</v>
      </c>
      <c r="M66" s="276">
        <v>1999</v>
      </c>
      <c r="N66" s="276">
        <v>1999</v>
      </c>
      <c r="O66" s="236" t="s">
        <v>193</v>
      </c>
      <c r="P66" s="236" t="s">
        <v>199</v>
      </c>
      <c r="Q66" s="236" t="s">
        <v>199</v>
      </c>
      <c r="R66" s="238" t="s">
        <v>181</v>
      </c>
      <c r="S66" s="236">
        <v>1</v>
      </c>
      <c r="T66" s="236">
        <v>44</v>
      </c>
      <c r="U66" s="236">
        <v>44</v>
      </c>
      <c r="V66" s="236"/>
      <c r="W66" s="236">
        <v>0</v>
      </c>
      <c r="X66" s="236">
        <v>0</v>
      </c>
      <c r="Y66" s="236">
        <v>0</v>
      </c>
      <c r="Z66" s="236">
        <v>44</v>
      </c>
      <c r="AA66" s="236">
        <v>0</v>
      </c>
      <c r="AB66" s="236">
        <v>0</v>
      </c>
      <c r="AC66" s="236">
        <v>0</v>
      </c>
      <c r="AD66" s="236" t="s">
        <v>145</v>
      </c>
      <c r="AE66" s="236">
        <v>3.2013720000000001E-3</v>
      </c>
      <c r="AF66" s="236" t="s">
        <v>208</v>
      </c>
      <c r="AG66" s="236">
        <v>0</v>
      </c>
      <c r="AH66" s="236">
        <v>1</v>
      </c>
      <c r="AI66" s="236"/>
      <c r="AJ66" s="236">
        <v>1</v>
      </c>
      <c r="AK66" s="236">
        <v>1</v>
      </c>
      <c r="AL66" s="236">
        <v>1</v>
      </c>
      <c r="AM66" s="236"/>
      <c r="AN66" s="236"/>
      <c r="AO66" s="236"/>
      <c r="AP66" s="236"/>
      <c r="AQ66" s="236">
        <v>555682786</v>
      </c>
      <c r="AR66" s="236" t="s">
        <v>193</v>
      </c>
      <c r="AS66" s="236" t="s">
        <v>193</v>
      </c>
      <c r="AT66" s="236" t="s">
        <v>180</v>
      </c>
      <c r="AU66" s="199"/>
      <c r="AV66" s="236"/>
      <c r="AW66" s="236"/>
    </row>
    <row r="67" spans="1:49" s="240" customFormat="1" ht="30.75">
      <c r="A67" s="236" t="s">
        <v>169</v>
      </c>
      <c r="B67" s="236">
        <v>1082</v>
      </c>
      <c r="C67" s="236" t="s">
        <v>472</v>
      </c>
      <c r="D67" s="236"/>
      <c r="E67" s="236" t="s">
        <v>473</v>
      </c>
      <c r="F67" s="276" t="s">
        <v>54</v>
      </c>
      <c r="G67" s="276" t="s">
        <v>173</v>
      </c>
      <c r="H67" s="236" t="s">
        <v>270</v>
      </c>
      <c r="I67" s="199" t="s">
        <v>474</v>
      </c>
      <c r="J67" s="236" t="s">
        <v>372</v>
      </c>
      <c r="K67" s="236">
        <v>38.200000000000003</v>
      </c>
      <c r="L67" s="277" t="s">
        <v>190</v>
      </c>
      <c r="M67" s="276">
        <v>1999</v>
      </c>
      <c r="N67" s="276">
        <v>1999</v>
      </c>
      <c r="O67" s="236" t="s">
        <v>193</v>
      </c>
      <c r="P67" s="236" t="s">
        <v>199</v>
      </c>
      <c r="Q67" s="236" t="s">
        <v>199</v>
      </c>
      <c r="R67" s="238" t="s">
        <v>181</v>
      </c>
      <c r="S67" s="236">
        <v>0</v>
      </c>
      <c r="T67" s="236">
        <v>4</v>
      </c>
      <c r="U67" s="236">
        <v>4</v>
      </c>
      <c r="V67" s="236"/>
      <c r="W67" s="236">
        <v>0</v>
      </c>
      <c r="X67" s="236">
        <v>0</v>
      </c>
      <c r="Y67" s="236">
        <v>0</v>
      </c>
      <c r="Z67" s="236">
        <v>4</v>
      </c>
      <c r="AA67" s="236">
        <v>0</v>
      </c>
      <c r="AB67" s="236">
        <v>0</v>
      </c>
      <c r="AC67" s="236">
        <v>0</v>
      </c>
      <c r="AD67" s="236" t="s">
        <v>145</v>
      </c>
      <c r="AE67" s="236">
        <v>0</v>
      </c>
      <c r="AF67" s="236" t="s">
        <v>208</v>
      </c>
      <c r="AG67" s="236">
        <v>0</v>
      </c>
      <c r="AH67" s="236">
        <v>1</v>
      </c>
      <c r="AI67" s="236"/>
      <c r="AJ67" s="236">
        <v>0</v>
      </c>
      <c r="AK67" s="236">
        <v>1</v>
      </c>
      <c r="AL67" s="236">
        <v>1</v>
      </c>
      <c r="AM67" s="236"/>
      <c r="AN67" s="236"/>
      <c r="AO67" s="236"/>
      <c r="AP67" s="236"/>
      <c r="AQ67" s="236">
        <v>555682858</v>
      </c>
      <c r="AR67" s="236" t="s">
        <v>193</v>
      </c>
      <c r="AS67" s="236" t="s">
        <v>193</v>
      </c>
      <c r="AT67" s="236" t="s">
        <v>180</v>
      </c>
      <c r="AU67" s="199"/>
      <c r="AV67" s="236"/>
      <c r="AW67" s="236"/>
    </row>
    <row r="68" spans="1:49" s="240" customFormat="1" ht="30.75">
      <c r="A68" s="236" t="s">
        <v>169</v>
      </c>
      <c r="B68" s="236">
        <v>1084</v>
      </c>
      <c r="C68" s="236" t="s">
        <v>475</v>
      </c>
      <c r="D68" s="236"/>
      <c r="E68" s="236" t="s">
        <v>476</v>
      </c>
      <c r="F68" s="276" t="s">
        <v>54</v>
      </c>
      <c r="G68" s="276" t="s">
        <v>173</v>
      </c>
      <c r="H68" s="236" t="s">
        <v>270</v>
      </c>
      <c r="I68" s="199" t="s">
        <v>477</v>
      </c>
      <c r="J68" s="236" t="s">
        <v>266</v>
      </c>
      <c r="K68" s="236">
        <v>16</v>
      </c>
      <c r="L68" s="277" t="s">
        <v>190</v>
      </c>
      <c r="M68" s="276">
        <v>1999</v>
      </c>
      <c r="N68" s="276">
        <v>1999</v>
      </c>
      <c r="O68" s="236" t="s">
        <v>193</v>
      </c>
      <c r="P68" s="236" t="s">
        <v>199</v>
      </c>
      <c r="Q68" s="236" t="s">
        <v>199</v>
      </c>
      <c r="R68" s="238" t="s">
        <v>181</v>
      </c>
      <c r="S68" s="236">
        <v>1</v>
      </c>
      <c r="T68" s="236">
        <v>16</v>
      </c>
      <c r="U68" s="236">
        <v>16</v>
      </c>
      <c r="V68" s="236"/>
      <c r="W68" s="236">
        <v>0</v>
      </c>
      <c r="X68" s="236">
        <v>0</v>
      </c>
      <c r="Y68" s="236">
        <v>0</v>
      </c>
      <c r="Z68" s="236">
        <v>16</v>
      </c>
      <c r="AA68" s="236">
        <v>0</v>
      </c>
      <c r="AB68" s="236">
        <v>0</v>
      </c>
      <c r="AC68" s="236">
        <v>0</v>
      </c>
      <c r="AD68" s="236" t="s">
        <v>145</v>
      </c>
      <c r="AE68" s="236">
        <v>0</v>
      </c>
      <c r="AF68" s="236" t="s">
        <v>208</v>
      </c>
      <c r="AG68" s="236">
        <v>0</v>
      </c>
      <c r="AH68" s="236">
        <v>1</v>
      </c>
      <c r="AI68" s="236"/>
      <c r="AJ68" s="236">
        <v>0</v>
      </c>
      <c r="AK68" s="236">
        <v>1</v>
      </c>
      <c r="AL68" s="236">
        <v>1</v>
      </c>
      <c r="AM68" s="236"/>
      <c r="AN68" s="236"/>
      <c r="AO68" s="236"/>
      <c r="AP68" s="236"/>
      <c r="AQ68" s="236">
        <v>555682493</v>
      </c>
      <c r="AR68" s="236" t="s">
        <v>193</v>
      </c>
      <c r="AS68" s="236" t="s">
        <v>193</v>
      </c>
      <c r="AT68" s="236" t="s">
        <v>180</v>
      </c>
      <c r="AU68" s="199"/>
      <c r="AV68" s="236"/>
      <c r="AW68" s="236"/>
    </row>
    <row r="69" spans="1:49">
      <c r="A69" s="276" t="s">
        <v>457</v>
      </c>
      <c r="B69" s="276"/>
      <c r="C69" s="276"/>
      <c r="D69" s="276"/>
      <c r="E69" s="276" t="s">
        <v>478</v>
      </c>
      <c r="F69" s="276" t="s">
        <v>295</v>
      </c>
      <c r="G69" s="276" t="s">
        <v>116</v>
      </c>
      <c r="H69" s="236" t="s">
        <v>270</v>
      </c>
      <c r="I69" s="276" t="s">
        <v>479</v>
      </c>
      <c r="J69" s="276" t="s">
        <v>480</v>
      </c>
      <c r="K69" s="276">
        <v>0.98199999999999998</v>
      </c>
      <c r="L69" s="277" t="s">
        <v>190</v>
      </c>
      <c r="M69" s="276">
        <v>2016</v>
      </c>
      <c r="N69" s="276"/>
      <c r="O69" s="276"/>
      <c r="P69" s="276"/>
      <c r="Q69" s="276"/>
      <c r="R69" s="277"/>
      <c r="S69" s="276"/>
      <c r="T69" s="276"/>
      <c r="U69" s="276"/>
      <c r="V69" s="276"/>
      <c r="W69" s="276"/>
      <c r="X69" s="276"/>
      <c r="Y69" s="276"/>
      <c r="Z69" s="276"/>
      <c r="AA69" s="276"/>
      <c r="AB69" s="276"/>
      <c r="AC69" s="276"/>
      <c r="AD69" s="276"/>
      <c r="AE69" s="276"/>
      <c r="AF69" s="276"/>
      <c r="AG69" s="276"/>
      <c r="AH69" s="276"/>
      <c r="AI69" s="276"/>
      <c r="AJ69" s="276"/>
      <c r="AK69" s="276"/>
      <c r="AL69" s="276"/>
      <c r="AM69" s="276"/>
      <c r="AN69" s="276"/>
      <c r="AO69" s="276"/>
      <c r="AP69" s="276"/>
      <c r="AQ69" s="276"/>
      <c r="AR69" s="276"/>
      <c r="AS69" s="276"/>
      <c r="AT69" s="276" t="s">
        <v>180</v>
      </c>
      <c r="AU69" s="276"/>
      <c r="AV69" s="276"/>
      <c r="AW69" s="236"/>
    </row>
    <row r="70" spans="1:49">
      <c r="A70" s="276" t="s">
        <v>457</v>
      </c>
      <c r="B70" s="276"/>
      <c r="C70" s="276"/>
      <c r="D70" s="276"/>
      <c r="E70" s="276" t="s">
        <v>481</v>
      </c>
      <c r="F70" s="277" t="s">
        <v>257</v>
      </c>
      <c r="G70" s="276" t="s">
        <v>116</v>
      </c>
      <c r="H70" s="198" t="s">
        <v>258</v>
      </c>
      <c r="I70" s="276" t="s">
        <v>482</v>
      </c>
      <c r="J70" s="276" t="s">
        <v>483</v>
      </c>
      <c r="K70" s="276">
        <v>2600</v>
      </c>
      <c r="L70" s="277" t="s">
        <v>190</v>
      </c>
      <c r="M70" s="276">
        <v>1999</v>
      </c>
      <c r="N70" s="276"/>
      <c r="O70" s="276"/>
      <c r="P70" s="276"/>
      <c r="Q70" s="276"/>
      <c r="R70" s="277"/>
      <c r="S70" s="276"/>
      <c r="T70" s="276"/>
      <c r="U70" s="276"/>
      <c r="V70" s="276"/>
      <c r="W70" s="276"/>
      <c r="X70" s="276"/>
      <c r="Y70" s="276"/>
      <c r="Z70" s="276"/>
      <c r="AA70" s="276"/>
      <c r="AB70" s="276"/>
      <c r="AC70" s="276"/>
      <c r="AD70" s="276"/>
      <c r="AE70" s="276"/>
      <c r="AF70" s="276"/>
      <c r="AG70" s="276"/>
      <c r="AH70" s="276"/>
      <c r="AI70" s="276"/>
      <c r="AJ70" s="276"/>
      <c r="AK70" s="276"/>
      <c r="AL70" s="276"/>
      <c r="AM70" s="276"/>
      <c r="AN70" s="276"/>
      <c r="AO70" s="276"/>
      <c r="AP70" s="276"/>
      <c r="AQ70" s="276"/>
      <c r="AR70" s="276"/>
      <c r="AS70" s="276"/>
      <c r="AT70" s="276" t="s">
        <v>180</v>
      </c>
      <c r="AU70" s="276"/>
      <c r="AV70" s="276"/>
      <c r="AW70" s="236"/>
    </row>
    <row r="71" spans="1:49" s="240" customFormat="1" ht="30.75">
      <c r="A71" s="236" t="s">
        <v>169</v>
      </c>
      <c r="B71" s="236">
        <v>1088</v>
      </c>
      <c r="C71" s="236" t="s">
        <v>484</v>
      </c>
      <c r="D71" s="236"/>
      <c r="E71" s="236" t="s">
        <v>485</v>
      </c>
      <c r="F71" s="276" t="s">
        <v>54</v>
      </c>
      <c r="G71" s="276" t="s">
        <v>173</v>
      </c>
      <c r="H71" s="236" t="s">
        <v>270</v>
      </c>
      <c r="I71" s="199" t="s">
        <v>486</v>
      </c>
      <c r="J71" s="236" t="s">
        <v>487</v>
      </c>
      <c r="K71" s="236">
        <v>50</v>
      </c>
      <c r="L71" s="277" t="s">
        <v>190</v>
      </c>
      <c r="M71" s="276">
        <v>2000</v>
      </c>
      <c r="N71" s="276">
        <v>2000</v>
      </c>
      <c r="O71" s="236" t="s">
        <v>193</v>
      </c>
      <c r="P71" s="236" t="s">
        <v>199</v>
      </c>
      <c r="Q71" s="236" t="s">
        <v>199</v>
      </c>
      <c r="R71" s="238" t="s">
        <v>181</v>
      </c>
      <c r="S71" s="236">
        <v>1</v>
      </c>
      <c r="T71" s="236">
        <v>50</v>
      </c>
      <c r="U71" s="236">
        <v>50</v>
      </c>
      <c r="V71" s="236"/>
      <c r="W71" s="236">
        <v>0</v>
      </c>
      <c r="X71" s="236">
        <v>0</v>
      </c>
      <c r="Y71" s="236">
        <v>0</v>
      </c>
      <c r="Z71" s="236">
        <v>50</v>
      </c>
      <c r="AA71" s="236">
        <v>0</v>
      </c>
      <c r="AB71" s="236">
        <v>0</v>
      </c>
      <c r="AC71" s="236">
        <v>0</v>
      </c>
      <c r="AD71" s="236" t="s">
        <v>145</v>
      </c>
      <c r="AE71" s="236">
        <v>0</v>
      </c>
      <c r="AF71" s="236" t="s">
        <v>208</v>
      </c>
      <c r="AG71" s="236">
        <v>0</v>
      </c>
      <c r="AH71" s="236">
        <v>1</v>
      </c>
      <c r="AI71" s="236"/>
      <c r="AJ71" s="236">
        <v>0</v>
      </c>
      <c r="AK71" s="236">
        <v>0</v>
      </c>
      <c r="AL71" s="236">
        <v>0</v>
      </c>
      <c r="AM71" s="236"/>
      <c r="AN71" s="236"/>
      <c r="AO71" s="236"/>
      <c r="AP71" s="236"/>
      <c r="AQ71" s="236">
        <v>555682490</v>
      </c>
      <c r="AR71" s="236" t="s">
        <v>193</v>
      </c>
      <c r="AS71" s="236" t="s">
        <v>193</v>
      </c>
      <c r="AT71" s="236" t="s">
        <v>180</v>
      </c>
      <c r="AU71" s="199"/>
      <c r="AV71" s="236"/>
      <c r="AW71" s="236"/>
    </row>
    <row r="72" spans="1:49" s="241" customFormat="1" ht="15.75" customHeight="1">
      <c r="A72" s="236" t="s">
        <v>169</v>
      </c>
      <c r="B72" s="198">
        <v>6</v>
      </c>
      <c r="C72" s="198" t="s">
        <v>488</v>
      </c>
      <c r="D72" s="236"/>
      <c r="E72" s="236" t="s">
        <v>489</v>
      </c>
      <c r="F72" s="277" t="s">
        <v>257</v>
      </c>
      <c r="G72" s="276" t="s">
        <v>173</v>
      </c>
      <c r="H72" s="198" t="s">
        <v>258</v>
      </c>
      <c r="I72" s="199" t="s">
        <v>490</v>
      </c>
      <c r="J72" s="198" t="s">
        <v>491</v>
      </c>
      <c r="K72" s="198">
        <v>156100</v>
      </c>
      <c r="L72" s="277" t="s">
        <v>190</v>
      </c>
      <c r="M72" s="276">
        <v>2000</v>
      </c>
      <c r="N72" s="198">
        <v>2000</v>
      </c>
      <c r="O72" s="198" t="s">
        <v>193</v>
      </c>
      <c r="P72" s="198" t="s">
        <v>199</v>
      </c>
      <c r="Q72" s="198" t="s">
        <v>121</v>
      </c>
      <c r="R72" s="198" t="s">
        <v>181</v>
      </c>
      <c r="S72" s="198">
        <v>1</v>
      </c>
      <c r="T72" s="213">
        <v>154859</v>
      </c>
      <c r="U72" s="213">
        <v>34875</v>
      </c>
      <c r="V72" s="198"/>
      <c r="W72" s="198">
        <v>0</v>
      </c>
      <c r="X72" s="198">
        <v>0</v>
      </c>
      <c r="Y72" s="198">
        <v>0</v>
      </c>
      <c r="Z72" s="213">
        <v>34875</v>
      </c>
      <c r="AA72" s="198">
        <v>0</v>
      </c>
      <c r="AB72" s="198">
        <v>0</v>
      </c>
      <c r="AC72" s="213">
        <v>119984</v>
      </c>
      <c r="AD72" s="198" t="s">
        <v>148</v>
      </c>
      <c r="AE72" s="198">
        <v>0.77479647299999999</v>
      </c>
      <c r="AF72" s="198" t="s">
        <v>208</v>
      </c>
      <c r="AG72" s="198">
        <v>0</v>
      </c>
      <c r="AH72" s="198">
        <v>1</v>
      </c>
      <c r="AI72" s="198"/>
      <c r="AJ72" s="198">
        <v>1</v>
      </c>
      <c r="AK72" s="198">
        <v>1</v>
      </c>
      <c r="AL72" s="198">
        <v>1</v>
      </c>
      <c r="AM72" s="198" t="s">
        <v>492</v>
      </c>
      <c r="AN72" s="198"/>
      <c r="AO72" s="198"/>
      <c r="AP72" s="198"/>
      <c r="AQ72" s="198">
        <v>351716</v>
      </c>
      <c r="AR72" s="236" t="s">
        <v>193</v>
      </c>
      <c r="AS72" s="236" t="s">
        <v>193</v>
      </c>
      <c r="AT72" s="236" t="s">
        <v>180</v>
      </c>
      <c r="AU72" s="199"/>
      <c r="AV72" s="236"/>
      <c r="AW72" s="236"/>
    </row>
    <row r="73" spans="1:49" s="240" customFormat="1">
      <c r="A73" s="276" t="s">
        <v>457</v>
      </c>
      <c r="B73" s="276"/>
      <c r="C73" s="276"/>
      <c r="D73" s="276"/>
      <c r="E73" s="276" t="s">
        <v>493</v>
      </c>
      <c r="F73" s="276" t="s">
        <v>172</v>
      </c>
      <c r="G73" s="276" t="s">
        <v>116</v>
      </c>
      <c r="H73" s="236" t="s">
        <v>270</v>
      </c>
      <c r="I73" s="276" t="s">
        <v>494</v>
      </c>
      <c r="J73" s="276" t="s">
        <v>495</v>
      </c>
      <c r="K73" s="276">
        <v>20.440000000000001</v>
      </c>
      <c r="L73" s="277" t="s">
        <v>190</v>
      </c>
      <c r="M73" s="276">
        <v>2020</v>
      </c>
      <c r="N73" s="276"/>
      <c r="O73" s="276"/>
      <c r="P73" s="276"/>
      <c r="Q73" s="276"/>
      <c r="R73" s="277"/>
      <c r="S73" s="276"/>
      <c r="T73" s="276"/>
      <c r="U73" s="276"/>
      <c r="V73" s="276"/>
      <c r="W73" s="276">
        <v>0</v>
      </c>
      <c r="X73" s="276">
        <v>0</v>
      </c>
      <c r="Y73" s="276">
        <v>0</v>
      </c>
      <c r="Z73" s="276"/>
      <c r="AA73" s="276">
        <v>0</v>
      </c>
      <c r="AB73" s="276">
        <v>0</v>
      </c>
      <c r="AC73" s="276"/>
      <c r="AD73" s="276"/>
      <c r="AE73" s="276"/>
      <c r="AF73" s="276"/>
      <c r="AG73" s="276"/>
      <c r="AH73" s="276"/>
      <c r="AI73" s="276"/>
      <c r="AJ73" s="276"/>
      <c r="AK73" s="276"/>
      <c r="AL73" s="276"/>
      <c r="AM73" s="276"/>
      <c r="AN73" s="276"/>
      <c r="AO73" s="276"/>
      <c r="AP73" s="276"/>
      <c r="AQ73" s="276"/>
      <c r="AR73" s="276"/>
      <c r="AS73" s="276"/>
      <c r="AT73" s="276" t="s">
        <v>180</v>
      </c>
      <c r="AU73" s="276"/>
      <c r="AV73" s="276"/>
      <c r="AW73" s="236"/>
    </row>
    <row r="74" spans="1:49">
      <c r="A74" s="276" t="s">
        <v>235</v>
      </c>
      <c r="B74" s="276"/>
      <c r="C74" s="276"/>
      <c r="D74" s="276"/>
      <c r="E74" s="276" t="s">
        <v>496</v>
      </c>
      <c r="F74" s="277" t="s">
        <v>257</v>
      </c>
      <c r="G74" s="276" t="s">
        <v>116</v>
      </c>
      <c r="H74" s="198" t="s">
        <v>258</v>
      </c>
      <c r="I74" s="276" t="s">
        <v>497</v>
      </c>
      <c r="J74" s="276" t="s">
        <v>498</v>
      </c>
      <c r="K74" s="276" t="s">
        <v>368</v>
      </c>
      <c r="L74" s="277" t="s">
        <v>190</v>
      </c>
      <c r="M74" s="276">
        <v>1998</v>
      </c>
      <c r="N74" s="276"/>
      <c r="O74" s="276"/>
      <c r="P74" s="276"/>
      <c r="Q74" s="276"/>
      <c r="R74" s="277"/>
      <c r="S74" s="276"/>
      <c r="T74" s="276"/>
      <c r="U74" s="276"/>
      <c r="V74" s="276"/>
      <c r="W74" s="276"/>
      <c r="X74" s="276"/>
      <c r="Y74" s="276"/>
      <c r="Z74" s="276"/>
      <c r="AA74" s="276"/>
      <c r="AB74" s="276"/>
      <c r="AC74" s="276"/>
      <c r="AD74" s="276"/>
      <c r="AE74" s="276"/>
      <c r="AF74" s="276"/>
      <c r="AG74" s="276"/>
      <c r="AH74" s="276"/>
      <c r="AI74" s="276"/>
      <c r="AJ74" s="276"/>
      <c r="AK74" s="276"/>
      <c r="AL74" s="276"/>
      <c r="AM74" s="276"/>
      <c r="AN74" s="276"/>
      <c r="AO74" s="276"/>
      <c r="AP74" s="276"/>
      <c r="AQ74" s="276"/>
      <c r="AR74" s="276"/>
      <c r="AS74" s="276"/>
      <c r="AT74" s="276" t="s">
        <v>180</v>
      </c>
      <c r="AU74" s="276"/>
      <c r="AV74" s="276"/>
      <c r="AW74" s="236"/>
    </row>
    <row r="75" spans="1:49">
      <c r="A75" s="276" t="s">
        <v>235</v>
      </c>
      <c r="B75" s="276"/>
      <c r="C75" s="276"/>
      <c r="D75" s="276"/>
      <c r="E75" s="276" t="s">
        <v>499</v>
      </c>
      <c r="F75" s="276" t="s">
        <v>229</v>
      </c>
      <c r="G75" s="276" t="s">
        <v>116</v>
      </c>
      <c r="H75" s="236" t="s">
        <v>270</v>
      </c>
      <c r="I75" s="276" t="s">
        <v>500</v>
      </c>
      <c r="J75" s="276" t="s">
        <v>501</v>
      </c>
      <c r="K75" s="276">
        <v>25</v>
      </c>
      <c r="L75" s="277" t="s">
        <v>190</v>
      </c>
      <c r="M75" s="276">
        <v>1995</v>
      </c>
      <c r="N75" s="276"/>
      <c r="O75" s="276"/>
      <c r="P75" s="276"/>
      <c r="Q75" s="276"/>
      <c r="R75" s="277"/>
      <c r="S75" s="276"/>
      <c r="T75" s="276"/>
      <c r="U75" s="276"/>
      <c r="V75" s="276"/>
      <c r="W75" s="276"/>
      <c r="X75" s="276"/>
      <c r="Y75" s="276"/>
      <c r="Z75" s="276"/>
      <c r="AA75" s="276"/>
      <c r="AB75" s="276"/>
      <c r="AC75" s="276"/>
      <c r="AD75" s="276"/>
      <c r="AE75" s="276"/>
      <c r="AF75" s="276"/>
      <c r="AG75" s="276"/>
      <c r="AH75" s="276"/>
      <c r="AI75" s="276"/>
      <c r="AJ75" s="276"/>
      <c r="AK75" s="276"/>
      <c r="AL75" s="276"/>
      <c r="AM75" s="276"/>
      <c r="AN75" s="276"/>
      <c r="AO75" s="276"/>
      <c r="AP75" s="276"/>
      <c r="AQ75" s="276"/>
      <c r="AR75" s="276"/>
      <c r="AS75" s="276"/>
      <c r="AT75" s="276"/>
      <c r="AU75" s="276"/>
      <c r="AV75" s="276"/>
      <c r="AW75" s="236"/>
    </row>
    <row r="76" spans="1:49" ht="30.75">
      <c r="A76" s="236" t="s">
        <v>169</v>
      </c>
      <c r="B76" s="236">
        <v>1096</v>
      </c>
      <c r="C76" s="236" t="s">
        <v>502</v>
      </c>
      <c r="D76" s="236"/>
      <c r="E76" s="236" t="s">
        <v>503</v>
      </c>
      <c r="F76" s="276" t="s">
        <v>54</v>
      </c>
      <c r="G76" s="276" t="s">
        <v>173</v>
      </c>
      <c r="H76" s="236" t="s">
        <v>270</v>
      </c>
      <c r="I76" s="199" t="s">
        <v>504</v>
      </c>
      <c r="J76" s="236" t="s">
        <v>443</v>
      </c>
      <c r="K76" s="236">
        <v>88</v>
      </c>
      <c r="L76" s="277" t="s">
        <v>190</v>
      </c>
      <c r="M76" s="276">
        <v>2001</v>
      </c>
      <c r="N76" s="276">
        <v>2001</v>
      </c>
      <c r="O76" s="236" t="s">
        <v>193</v>
      </c>
      <c r="P76" s="236" t="s">
        <v>199</v>
      </c>
      <c r="Q76" s="236" t="s">
        <v>199</v>
      </c>
      <c r="R76" s="238" t="s">
        <v>181</v>
      </c>
      <c r="S76" s="236">
        <v>1</v>
      </c>
      <c r="T76" s="236">
        <v>87</v>
      </c>
      <c r="U76" s="236">
        <v>87</v>
      </c>
      <c r="V76" s="236"/>
      <c r="W76" s="236">
        <v>0</v>
      </c>
      <c r="X76" s="236">
        <v>0</v>
      </c>
      <c r="Y76" s="236">
        <v>0</v>
      </c>
      <c r="Z76" s="236">
        <v>87</v>
      </c>
      <c r="AA76" s="236">
        <v>0</v>
      </c>
      <c r="AB76" s="236">
        <v>0</v>
      </c>
      <c r="AC76" s="236">
        <v>0</v>
      </c>
      <c r="AD76" s="236" t="s">
        <v>145</v>
      </c>
      <c r="AE76" s="236">
        <v>0</v>
      </c>
      <c r="AF76" s="236" t="s">
        <v>208</v>
      </c>
      <c r="AG76" s="236">
        <v>0</v>
      </c>
      <c r="AH76" s="236">
        <v>1</v>
      </c>
      <c r="AI76" s="236"/>
      <c r="AJ76" s="236">
        <v>0</v>
      </c>
      <c r="AK76" s="236">
        <v>0</v>
      </c>
      <c r="AL76" s="236">
        <v>0</v>
      </c>
      <c r="AM76" s="236"/>
      <c r="AN76" s="236"/>
      <c r="AO76" s="236"/>
      <c r="AP76" s="236"/>
      <c r="AQ76" s="236">
        <v>555682489</v>
      </c>
      <c r="AR76" s="236" t="s">
        <v>193</v>
      </c>
      <c r="AS76" s="236" t="s">
        <v>193</v>
      </c>
      <c r="AT76" s="236" t="s">
        <v>180</v>
      </c>
      <c r="AU76" s="201"/>
      <c r="AV76" s="236"/>
      <c r="AW76" s="236"/>
    </row>
    <row r="77" spans="1:49" ht="30.75">
      <c r="A77" s="236" t="s">
        <v>169</v>
      </c>
      <c r="B77" s="236">
        <v>1097</v>
      </c>
      <c r="C77" s="236" t="s">
        <v>505</v>
      </c>
      <c r="D77" s="236"/>
      <c r="E77" s="236" t="s">
        <v>506</v>
      </c>
      <c r="F77" s="276" t="s">
        <v>54</v>
      </c>
      <c r="G77" s="276" t="s">
        <v>173</v>
      </c>
      <c r="H77" s="236" t="s">
        <v>270</v>
      </c>
      <c r="I77" s="205" t="s">
        <v>507</v>
      </c>
      <c r="J77" s="236" t="s">
        <v>286</v>
      </c>
      <c r="K77" s="236">
        <v>4613.8</v>
      </c>
      <c r="L77" s="277" t="s">
        <v>190</v>
      </c>
      <c r="M77" s="276">
        <v>2001</v>
      </c>
      <c r="N77" s="276">
        <v>2001</v>
      </c>
      <c r="O77" s="236" t="s">
        <v>193</v>
      </c>
      <c r="P77" s="236" t="s">
        <v>199</v>
      </c>
      <c r="Q77" s="236" t="s">
        <v>199</v>
      </c>
      <c r="R77" s="238" t="s">
        <v>181</v>
      </c>
      <c r="S77" s="236">
        <v>1</v>
      </c>
      <c r="T77" s="237">
        <v>4582</v>
      </c>
      <c r="U77" s="237">
        <v>4582</v>
      </c>
      <c r="V77" s="236"/>
      <c r="W77" s="236">
        <v>0</v>
      </c>
      <c r="X77" s="236">
        <v>0</v>
      </c>
      <c r="Y77" s="236">
        <v>0</v>
      </c>
      <c r="Z77" s="237">
        <v>4582</v>
      </c>
      <c r="AA77" s="236">
        <v>0</v>
      </c>
      <c r="AB77" s="236">
        <v>0</v>
      </c>
      <c r="AC77" s="236">
        <v>0</v>
      </c>
      <c r="AD77" s="236" t="s">
        <v>145</v>
      </c>
      <c r="AE77" s="236">
        <v>0</v>
      </c>
      <c r="AF77" s="236" t="s">
        <v>208</v>
      </c>
      <c r="AG77" s="236">
        <v>0</v>
      </c>
      <c r="AH77" s="236">
        <v>1</v>
      </c>
      <c r="AI77" s="236"/>
      <c r="AJ77" s="236">
        <v>0</v>
      </c>
      <c r="AK77" s="236">
        <v>1</v>
      </c>
      <c r="AL77" s="236">
        <v>1</v>
      </c>
      <c r="AM77" s="236"/>
      <c r="AN77" s="236"/>
      <c r="AO77" s="236"/>
      <c r="AP77" s="236"/>
      <c r="AQ77" s="236">
        <v>555682487</v>
      </c>
      <c r="AR77" s="236" t="s">
        <v>193</v>
      </c>
      <c r="AS77" s="236" t="s">
        <v>193</v>
      </c>
      <c r="AT77" s="236" t="s">
        <v>180</v>
      </c>
      <c r="AU77" s="206"/>
      <c r="AV77" s="236"/>
      <c r="AW77" s="236"/>
    </row>
    <row r="78" spans="1:49" ht="30.75">
      <c r="A78" s="236" t="s">
        <v>169</v>
      </c>
      <c r="B78" s="236">
        <v>1091</v>
      </c>
      <c r="C78" s="236" t="s">
        <v>508</v>
      </c>
      <c r="D78" s="236"/>
      <c r="E78" s="236" t="s">
        <v>509</v>
      </c>
      <c r="F78" s="276" t="s">
        <v>54</v>
      </c>
      <c r="G78" s="276" t="s">
        <v>173</v>
      </c>
      <c r="H78" s="236" t="s">
        <v>270</v>
      </c>
      <c r="I78" s="199" t="s">
        <v>510</v>
      </c>
      <c r="J78" s="236" t="s">
        <v>511</v>
      </c>
      <c r="K78" s="236">
        <v>415.79</v>
      </c>
      <c r="L78" s="277" t="s">
        <v>190</v>
      </c>
      <c r="M78" s="276">
        <v>2001</v>
      </c>
      <c r="N78" s="276">
        <v>2001</v>
      </c>
      <c r="O78" s="236" t="s">
        <v>193</v>
      </c>
      <c r="P78" s="236" t="s">
        <v>199</v>
      </c>
      <c r="Q78" s="236" t="s">
        <v>199</v>
      </c>
      <c r="R78" s="238" t="s">
        <v>181</v>
      </c>
      <c r="S78" s="236">
        <v>1</v>
      </c>
      <c r="T78" s="236">
        <v>415.59024349999999</v>
      </c>
      <c r="U78" s="236">
        <v>415.59024349999999</v>
      </c>
      <c r="V78" s="236"/>
      <c r="W78" s="236">
        <v>0</v>
      </c>
      <c r="X78" s="236">
        <v>0</v>
      </c>
      <c r="Y78" s="236">
        <v>0</v>
      </c>
      <c r="Z78" s="236">
        <v>415.59024349999999</v>
      </c>
      <c r="AA78" s="236">
        <v>0</v>
      </c>
      <c r="AB78" s="236">
        <v>0</v>
      </c>
      <c r="AC78" s="236">
        <v>0</v>
      </c>
      <c r="AD78" s="236" t="s">
        <v>145</v>
      </c>
      <c r="AE78" s="236">
        <v>0</v>
      </c>
      <c r="AF78" s="236" t="s">
        <v>208</v>
      </c>
      <c r="AG78" s="236">
        <v>0</v>
      </c>
      <c r="AH78" s="236">
        <v>1</v>
      </c>
      <c r="AI78" s="236"/>
      <c r="AJ78" s="236">
        <v>0</v>
      </c>
      <c r="AK78" s="236">
        <v>0</v>
      </c>
      <c r="AL78" s="236">
        <v>0</v>
      </c>
      <c r="AM78" s="236"/>
      <c r="AN78" s="236"/>
      <c r="AO78" s="236"/>
      <c r="AP78" s="236"/>
      <c r="AQ78" s="236">
        <v>555600175</v>
      </c>
      <c r="AR78" s="236" t="s">
        <v>193</v>
      </c>
      <c r="AS78" s="236" t="s">
        <v>193</v>
      </c>
      <c r="AT78" s="236" t="s">
        <v>180</v>
      </c>
      <c r="AU78" s="199"/>
      <c r="AV78" s="236"/>
      <c r="AW78" s="236"/>
    </row>
    <row r="79" spans="1:49" ht="30.75">
      <c r="A79" s="236" t="s">
        <v>169</v>
      </c>
      <c r="B79" s="236">
        <v>1100</v>
      </c>
      <c r="C79" s="236" t="s">
        <v>512</v>
      </c>
      <c r="D79" s="236"/>
      <c r="E79" s="236" t="s">
        <v>513</v>
      </c>
      <c r="F79" s="276" t="s">
        <v>54</v>
      </c>
      <c r="G79" s="276" t="s">
        <v>173</v>
      </c>
      <c r="H79" s="236" t="s">
        <v>270</v>
      </c>
      <c r="I79" s="199" t="s">
        <v>514</v>
      </c>
      <c r="J79" s="236" t="s">
        <v>515</v>
      </c>
      <c r="K79" s="236">
        <v>26</v>
      </c>
      <c r="L79" s="277" t="s">
        <v>190</v>
      </c>
      <c r="M79" s="276">
        <v>2001</v>
      </c>
      <c r="N79" s="276">
        <v>2001</v>
      </c>
      <c r="O79" s="236" t="s">
        <v>193</v>
      </c>
      <c r="P79" s="236" t="s">
        <v>199</v>
      </c>
      <c r="Q79" s="236" t="s">
        <v>199</v>
      </c>
      <c r="R79" s="238" t="s">
        <v>181</v>
      </c>
      <c r="S79" s="236">
        <v>0</v>
      </c>
      <c r="T79" s="236">
        <v>26</v>
      </c>
      <c r="U79" s="236">
        <v>26</v>
      </c>
      <c r="V79" s="236"/>
      <c r="W79" s="236">
        <v>0</v>
      </c>
      <c r="X79" s="236">
        <v>0</v>
      </c>
      <c r="Y79" s="236">
        <v>0</v>
      </c>
      <c r="Z79" s="236">
        <v>26</v>
      </c>
      <c r="AA79" s="236">
        <v>0</v>
      </c>
      <c r="AB79" s="236">
        <v>0</v>
      </c>
      <c r="AC79" s="236">
        <v>0</v>
      </c>
      <c r="AD79" s="236" t="s">
        <v>145</v>
      </c>
      <c r="AE79" s="236">
        <v>0</v>
      </c>
      <c r="AF79" s="236" t="s">
        <v>208</v>
      </c>
      <c r="AG79" s="236">
        <v>0</v>
      </c>
      <c r="AH79" s="236">
        <v>1</v>
      </c>
      <c r="AI79" s="236"/>
      <c r="AJ79" s="236">
        <v>0</v>
      </c>
      <c r="AK79" s="236">
        <v>1</v>
      </c>
      <c r="AL79" s="236">
        <v>1</v>
      </c>
      <c r="AM79" s="236"/>
      <c r="AN79" s="236"/>
      <c r="AO79" s="236"/>
      <c r="AP79" s="236"/>
      <c r="AQ79" s="236">
        <v>555682488</v>
      </c>
      <c r="AR79" s="236"/>
      <c r="AS79" s="236" t="s">
        <v>193</v>
      </c>
      <c r="AT79" s="236" t="s">
        <v>180</v>
      </c>
      <c r="AU79" s="199"/>
      <c r="AV79" s="236"/>
      <c r="AW79" s="236"/>
    </row>
    <row r="80" spans="1:49" s="240" customFormat="1" ht="30.75">
      <c r="A80" s="236" t="s">
        <v>169</v>
      </c>
      <c r="B80" s="236">
        <v>1099</v>
      </c>
      <c r="C80" s="236" t="s">
        <v>516</v>
      </c>
      <c r="D80" s="236"/>
      <c r="E80" s="236" t="s">
        <v>517</v>
      </c>
      <c r="F80" s="276" t="s">
        <v>54</v>
      </c>
      <c r="G80" s="276" t="s">
        <v>173</v>
      </c>
      <c r="H80" s="236" t="s">
        <v>270</v>
      </c>
      <c r="I80" s="199" t="s">
        <v>518</v>
      </c>
      <c r="J80" s="236" t="s">
        <v>519</v>
      </c>
      <c r="K80" s="236">
        <v>49</v>
      </c>
      <c r="L80" s="277" t="s">
        <v>190</v>
      </c>
      <c r="M80" s="276">
        <v>2001</v>
      </c>
      <c r="N80" s="276">
        <v>2001</v>
      </c>
      <c r="O80" s="236" t="s">
        <v>193</v>
      </c>
      <c r="P80" s="236" t="s">
        <v>199</v>
      </c>
      <c r="Q80" s="236" t="s">
        <v>199</v>
      </c>
      <c r="R80" s="238" t="s">
        <v>181</v>
      </c>
      <c r="S80" s="236">
        <v>0</v>
      </c>
      <c r="T80" s="236">
        <v>49</v>
      </c>
      <c r="U80" s="236">
        <v>49</v>
      </c>
      <c r="V80" s="236"/>
      <c r="W80" s="236">
        <v>0</v>
      </c>
      <c r="X80" s="236">
        <v>0</v>
      </c>
      <c r="Y80" s="236">
        <v>0</v>
      </c>
      <c r="Z80" s="236">
        <v>49</v>
      </c>
      <c r="AA80" s="236">
        <v>0</v>
      </c>
      <c r="AB80" s="236">
        <v>0</v>
      </c>
      <c r="AC80" s="236">
        <v>0</v>
      </c>
      <c r="AD80" s="236" t="s">
        <v>145</v>
      </c>
      <c r="AE80" s="236">
        <v>0</v>
      </c>
      <c r="AF80" s="236" t="s">
        <v>208</v>
      </c>
      <c r="AG80" s="236">
        <v>0</v>
      </c>
      <c r="AH80" s="236">
        <v>1</v>
      </c>
      <c r="AI80" s="236"/>
      <c r="AJ80" s="236">
        <v>0</v>
      </c>
      <c r="AK80" s="236">
        <v>0</v>
      </c>
      <c r="AL80" s="236">
        <v>0</v>
      </c>
      <c r="AM80" s="236"/>
      <c r="AN80" s="236"/>
      <c r="AO80" s="236"/>
      <c r="AP80" s="236"/>
      <c r="AQ80" s="236">
        <v>555682483</v>
      </c>
      <c r="AR80" s="236" t="s">
        <v>193</v>
      </c>
      <c r="AS80" s="236" t="s">
        <v>193</v>
      </c>
      <c r="AT80" s="236" t="s">
        <v>180</v>
      </c>
      <c r="AU80" s="199"/>
      <c r="AV80" s="236"/>
      <c r="AW80" s="236"/>
    </row>
    <row r="81" spans="1:49" s="240" customFormat="1" ht="30.75">
      <c r="A81" s="236" t="s">
        <v>169</v>
      </c>
      <c r="B81" s="236">
        <v>1085</v>
      </c>
      <c r="C81" s="236" t="s">
        <v>520</v>
      </c>
      <c r="D81" s="236"/>
      <c r="E81" s="236" t="s">
        <v>521</v>
      </c>
      <c r="F81" s="276" t="s">
        <v>54</v>
      </c>
      <c r="G81" s="276" t="s">
        <v>173</v>
      </c>
      <c r="H81" s="236" t="s">
        <v>270</v>
      </c>
      <c r="I81" s="199" t="s">
        <v>522</v>
      </c>
      <c r="J81" s="236" t="s">
        <v>523</v>
      </c>
      <c r="K81" s="236">
        <v>100</v>
      </c>
      <c r="L81" s="277" t="s">
        <v>190</v>
      </c>
      <c r="M81" s="276">
        <v>2001</v>
      </c>
      <c r="N81" s="276">
        <v>2001</v>
      </c>
      <c r="O81" s="236" t="s">
        <v>193</v>
      </c>
      <c r="P81" s="236" t="s">
        <v>199</v>
      </c>
      <c r="Q81" s="236" t="s">
        <v>199</v>
      </c>
      <c r="R81" s="238" t="s">
        <v>181</v>
      </c>
      <c r="S81" s="236">
        <v>1</v>
      </c>
      <c r="T81" s="236">
        <v>100</v>
      </c>
      <c r="U81" s="236">
        <v>100</v>
      </c>
      <c r="V81" s="236"/>
      <c r="W81" s="236">
        <v>0</v>
      </c>
      <c r="X81" s="236">
        <v>0</v>
      </c>
      <c r="Y81" s="236">
        <v>0</v>
      </c>
      <c r="Z81" s="236">
        <v>100</v>
      </c>
      <c r="AA81" s="236">
        <v>0</v>
      </c>
      <c r="AB81" s="236">
        <v>0</v>
      </c>
      <c r="AC81" s="236">
        <v>0</v>
      </c>
      <c r="AD81" s="236" t="s">
        <v>145</v>
      </c>
      <c r="AE81" s="236">
        <v>0</v>
      </c>
      <c r="AF81" s="236" t="s">
        <v>208</v>
      </c>
      <c r="AG81" s="236">
        <v>0</v>
      </c>
      <c r="AH81" s="236">
        <v>1</v>
      </c>
      <c r="AI81" s="236"/>
      <c r="AJ81" s="236">
        <v>0</v>
      </c>
      <c r="AK81" s="236">
        <v>0</v>
      </c>
      <c r="AL81" s="236">
        <v>0</v>
      </c>
      <c r="AM81" s="236"/>
      <c r="AN81" s="236"/>
      <c r="AO81" s="236"/>
      <c r="AP81" s="236"/>
      <c r="AQ81" s="236">
        <v>555600042</v>
      </c>
      <c r="AR81" s="236" t="s">
        <v>193</v>
      </c>
      <c r="AS81" s="236" t="s">
        <v>193</v>
      </c>
      <c r="AT81" s="236" t="s">
        <v>180</v>
      </c>
      <c r="AU81" s="199"/>
      <c r="AV81" s="236"/>
      <c r="AW81" s="236"/>
    </row>
    <row r="82" spans="1:49" s="240" customFormat="1">
      <c r="A82" s="276" t="s">
        <v>235</v>
      </c>
      <c r="B82" s="276"/>
      <c r="C82" s="276"/>
      <c r="D82" s="276"/>
      <c r="E82" s="276" t="s">
        <v>524</v>
      </c>
      <c r="F82" s="277" t="s">
        <v>257</v>
      </c>
      <c r="G82" s="276" t="s">
        <v>116</v>
      </c>
      <c r="H82" s="198" t="s">
        <v>258</v>
      </c>
      <c r="I82" s="276" t="s">
        <v>525</v>
      </c>
      <c r="J82" s="276" t="s">
        <v>526</v>
      </c>
      <c r="K82" s="276"/>
      <c r="L82" s="277" t="s">
        <v>190</v>
      </c>
      <c r="M82" s="276">
        <v>1984</v>
      </c>
      <c r="N82" s="276"/>
      <c r="O82" s="276"/>
      <c r="P82" s="276"/>
      <c r="Q82" s="276"/>
      <c r="R82" s="277"/>
      <c r="S82" s="276"/>
      <c r="T82" s="276"/>
      <c r="U82" s="276"/>
      <c r="V82" s="276"/>
      <c r="W82" s="276"/>
      <c r="X82" s="276"/>
      <c r="Y82" s="276"/>
      <c r="Z82" s="276"/>
      <c r="AA82" s="276"/>
      <c r="AB82" s="276"/>
      <c r="AC82" s="276"/>
      <c r="AD82" s="276"/>
      <c r="AE82" s="276"/>
      <c r="AF82" s="276"/>
      <c r="AG82" s="276"/>
      <c r="AH82" s="276"/>
      <c r="AI82" s="276"/>
      <c r="AJ82" s="276"/>
      <c r="AK82" s="276"/>
      <c r="AL82" s="276"/>
      <c r="AM82" s="276"/>
      <c r="AN82" s="276"/>
      <c r="AO82" s="276"/>
      <c r="AP82" s="276"/>
      <c r="AQ82" s="276"/>
      <c r="AR82" s="276"/>
      <c r="AS82" s="276"/>
      <c r="AT82" s="276"/>
      <c r="AU82" s="276"/>
      <c r="AV82" s="276"/>
      <c r="AW82" s="236"/>
    </row>
    <row r="83" spans="1:49" s="240" customFormat="1">
      <c r="A83" s="276" t="s">
        <v>235</v>
      </c>
      <c r="B83" s="276"/>
      <c r="C83" s="276"/>
      <c r="D83" s="276"/>
      <c r="E83" s="276" t="s">
        <v>527</v>
      </c>
      <c r="F83" s="277" t="s">
        <v>257</v>
      </c>
      <c r="G83" s="276" t="s">
        <v>116</v>
      </c>
      <c r="H83" s="198" t="s">
        <v>258</v>
      </c>
      <c r="I83" s="276" t="s">
        <v>528</v>
      </c>
      <c r="J83" s="276" t="s">
        <v>529</v>
      </c>
      <c r="K83" s="276">
        <v>4.34</v>
      </c>
      <c r="L83" s="277" t="s">
        <v>190</v>
      </c>
      <c r="M83" s="276">
        <v>2018</v>
      </c>
      <c r="N83" s="276"/>
      <c r="O83" s="276" t="s">
        <v>530</v>
      </c>
      <c r="P83" s="276"/>
      <c r="Q83" s="276"/>
      <c r="R83" s="277"/>
      <c r="S83" s="276"/>
      <c r="T83" s="276"/>
      <c r="U83" s="276"/>
      <c r="V83" s="276"/>
      <c r="W83" s="276"/>
      <c r="X83" s="276"/>
      <c r="Y83" s="276"/>
      <c r="Z83" s="276"/>
      <c r="AA83" s="276"/>
      <c r="AB83" s="276"/>
      <c r="AC83" s="276"/>
      <c r="AD83" s="276"/>
      <c r="AE83" s="276"/>
      <c r="AF83" s="276"/>
      <c r="AG83" s="276"/>
      <c r="AH83" s="276"/>
      <c r="AI83" s="276"/>
      <c r="AJ83" s="276"/>
      <c r="AK83" s="276"/>
      <c r="AL83" s="276"/>
      <c r="AM83" s="276"/>
      <c r="AN83" s="276"/>
      <c r="AO83" s="276"/>
      <c r="AP83" s="276"/>
      <c r="AQ83" s="276"/>
      <c r="AR83" s="276"/>
      <c r="AS83" s="276"/>
      <c r="AT83" s="276" t="s">
        <v>180</v>
      </c>
      <c r="AU83" s="276"/>
      <c r="AV83" s="248"/>
      <c r="AW83" s="236"/>
    </row>
    <row r="84" spans="1:49">
      <c r="A84" s="276" t="s">
        <v>235</v>
      </c>
      <c r="B84" s="276"/>
      <c r="C84" s="276"/>
      <c r="D84" s="276"/>
      <c r="E84" s="276" t="s">
        <v>531</v>
      </c>
      <c r="F84" s="277" t="s">
        <v>257</v>
      </c>
      <c r="G84" s="276" t="s">
        <v>116</v>
      </c>
      <c r="H84" s="198" t="s">
        <v>258</v>
      </c>
      <c r="I84" s="276" t="s">
        <v>532</v>
      </c>
      <c r="J84" s="276" t="s">
        <v>117</v>
      </c>
      <c r="K84" s="276" t="s">
        <v>368</v>
      </c>
      <c r="L84" s="277" t="s">
        <v>190</v>
      </c>
      <c r="M84" s="276">
        <v>2001</v>
      </c>
      <c r="N84" s="276"/>
      <c r="O84" s="276"/>
      <c r="P84" s="276"/>
      <c r="Q84" s="276"/>
      <c r="R84" s="277"/>
      <c r="S84" s="276"/>
      <c r="T84" s="276"/>
      <c r="U84" s="276"/>
      <c r="V84" s="276"/>
      <c r="W84" s="276"/>
      <c r="X84" s="276"/>
      <c r="Y84" s="276"/>
      <c r="Z84" s="276"/>
      <c r="AA84" s="276"/>
      <c r="AB84" s="276"/>
      <c r="AC84" s="276"/>
      <c r="AD84" s="276"/>
      <c r="AE84" s="276"/>
      <c r="AF84" s="276"/>
      <c r="AG84" s="276"/>
      <c r="AH84" s="276"/>
      <c r="AI84" s="276"/>
      <c r="AJ84" s="276"/>
      <c r="AK84" s="276"/>
      <c r="AL84" s="276"/>
      <c r="AM84" s="276"/>
      <c r="AN84" s="276"/>
      <c r="AO84" s="276"/>
      <c r="AP84" s="276"/>
      <c r="AQ84" s="276"/>
      <c r="AR84" s="276"/>
      <c r="AS84" s="276"/>
      <c r="AT84" s="276" t="s">
        <v>180</v>
      </c>
      <c r="AU84" s="276"/>
      <c r="AV84" s="276"/>
      <c r="AW84" s="236"/>
    </row>
    <row r="85" spans="1:49" ht="30.75">
      <c r="A85" s="236" t="s">
        <v>169</v>
      </c>
      <c r="B85" s="236">
        <v>1092</v>
      </c>
      <c r="C85" s="236" t="s">
        <v>533</v>
      </c>
      <c r="D85" s="236"/>
      <c r="E85" s="236" t="s">
        <v>534</v>
      </c>
      <c r="F85" s="276" t="s">
        <v>54</v>
      </c>
      <c r="G85" s="276" t="s">
        <v>173</v>
      </c>
      <c r="H85" s="236" t="s">
        <v>270</v>
      </c>
      <c r="I85" s="199" t="s">
        <v>535</v>
      </c>
      <c r="J85" s="236" t="s">
        <v>511</v>
      </c>
      <c r="K85" s="236">
        <v>102.96</v>
      </c>
      <c r="L85" s="277" t="s">
        <v>190</v>
      </c>
      <c r="M85" s="276">
        <v>2002</v>
      </c>
      <c r="N85" s="276">
        <v>2002</v>
      </c>
      <c r="O85" s="236" t="s">
        <v>193</v>
      </c>
      <c r="P85" s="236" t="s">
        <v>199</v>
      </c>
      <c r="Q85" s="236" t="s">
        <v>199</v>
      </c>
      <c r="R85" s="238" t="s">
        <v>181</v>
      </c>
      <c r="S85" s="236">
        <v>0</v>
      </c>
      <c r="T85" s="236">
        <v>103</v>
      </c>
      <c r="U85" s="236">
        <v>103</v>
      </c>
      <c r="V85" s="236"/>
      <c r="W85" s="236">
        <v>0</v>
      </c>
      <c r="X85" s="236">
        <v>0</v>
      </c>
      <c r="Y85" s="236">
        <v>0</v>
      </c>
      <c r="Z85" s="236">
        <v>103</v>
      </c>
      <c r="AA85" s="236">
        <v>0</v>
      </c>
      <c r="AB85" s="236">
        <v>0</v>
      </c>
      <c r="AC85" s="236">
        <v>0</v>
      </c>
      <c r="AD85" s="236" t="s">
        <v>145</v>
      </c>
      <c r="AE85" s="236">
        <v>0</v>
      </c>
      <c r="AF85" s="236" t="s">
        <v>208</v>
      </c>
      <c r="AG85" s="236">
        <v>0</v>
      </c>
      <c r="AH85" s="236">
        <v>1</v>
      </c>
      <c r="AI85" s="236"/>
      <c r="AJ85" s="236">
        <v>0</v>
      </c>
      <c r="AK85" s="236">
        <v>0</v>
      </c>
      <c r="AL85" s="236">
        <v>0</v>
      </c>
      <c r="AM85" s="236"/>
      <c r="AN85" s="236"/>
      <c r="AO85" s="236"/>
      <c r="AP85" s="236"/>
      <c r="AQ85" s="236">
        <v>555682485</v>
      </c>
      <c r="AR85" s="236" t="s">
        <v>193</v>
      </c>
      <c r="AS85" s="236" t="s">
        <v>193</v>
      </c>
      <c r="AT85" s="236" t="s">
        <v>180</v>
      </c>
      <c r="AU85" s="199"/>
      <c r="AV85" s="236"/>
      <c r="AW85" s="236"/>
    </row>
    <row r="86" spans="1:49" ht="16.5" customHeight="1">
      <c r="A86" s="236" t="s">
        <v>169</v>
      </c>
      <c r="B86" s="236">
        <v>1081</v>
      </c>
      <c r="C86" s="236" t="s">
        <v>536</v>
      </c>
      <c r="D86" s="236"/>
      <c r="E86" s="236" t="s">
        <v>537</v>
      </c>
      <c r="F86" s="276" t="s">
        <v>54</v>
      </c>
      <c r="G86" s="276" t="s">
        <v>173</v>
      </c>
      <c r="H86" s="236" t="s">
        <v>270</v>
      </c>
      <c r="I86" s="199" t="s">
        <v>538</v>
      </c>
      <c r="J86" s="236" t="s">
        <v>539</v>
      </c>
      <c r="K86" s="236">
        <v>1156.33</v>
      </c>
      <c r="L86" s="277" t="s">
        <v>190</v>
      </c>
      <c r="M86" s="276">
        <v>2002</v>
      </c>
      <c r="N86" s="276">
        <v>2002</v>
      </c>
      <c r="O86" s="197" t="s">
        <v>540</v>
      </c>
      <c r="P86" s="236" t="s">
        <v>199</v>
      </c>
      <c r="Q86" s="236" t="s">
        <v>199</v>
      </c>
      <c r="R86" s="238" t="s">
        <v>181</v>
      </c>
      <c r="S86" s="236">
        <v>1</v>
      </c>
      <c r="T86" s="237">
        <v>1157</v>
      </c>
      <c r="U86" s="237">
        <v>1157</v>
      </c>
      <c r="V86" s="236"/>
      <c r="W86" s="236">
        <v>0</v>
      </c>
      <c r="X86" s="236">
        <v>0</v>
      </c>
      <c r="Y86" s="236">
        <v>0</v>
      </c>
      <c r="Z86" s="237">
        <v>1157</v>
      </c>
      <c r="AA86" s="236">
        <v>0</v>
      </c>
      <c r="AB86" s="236">
        <v>0</v>
      </c>
      <c r="AC86" s="236">
        <v>0</v>
      </c>
      <c r="AD86" s="236" t="s">
        <v>145</v>
      </c>
      <c r="AE86" s="236">
        <v>0</v>
      </c>
      <c r="AF86" s="236" t="s">
        <v>208</v>
      </c>
      <c r="AG86" s="236">
        <v>0</v>
      </c>
      <c r="AH86" s="236">
        <v>1</v>
      </c>
      <c r="AI86" s="236"/>
      <c r="AJ86" s="236">
        <v>0</v>
      </c>
      <c r="AK86" s="236">
        <v>0</v>
      </c>
      <c r="AL86" s="236">
        <v>0</v>
      </c>
      <c r="AM86" s="236"/>
      <c r="AN86" s="236"/>
      <c r="AO86" s="236"/>
      <c r="AP86" s="236"/>
      <c r="AQ86" s="236">
        <v>555600006</v>
      </c>
      <c r="AR86" s="236" t="s">
        <v>193</v>
      </c>
      <c r="AS86" s="236" t="s">
        <v>193</v>
      </c>
      <c r="AT86" s="236" t="s">
        <v>180</v>
      </c>
      <c r="AU86" s="199"/>
      <c r="AV86" s="236"/>
      <c r="AW86" s="236"/>
    </row>
    <row r="87" spans="1:49" ht="30.75">
      <c r="A87" s="236" t="s">
        <v>169</v>
      </c>
      <c r="B87" s="236">
        <v>1094</v>
      </c>
      <c r="C87" s="236" t="s">
        <v>541</v>
      </c>
      <c r="D87" s="236"/>
      <c r="E87" s="236" t="s">
        <v>542</v>
      </c>
      <c r="F87" s="276" t="s">
        <v>54</v>
      </c>
      <c r="G87" s="276" t="s">
        <v>173</v>
      </c>
      <c r="H87" s="236" t="s">
        <v>270</v>
      </c>
      <c r="I87" s="199" t="s">
        <v>543</v>
      </c>
      <c r="J87" s="236" t="s">
        <v>544</v>
      </c>
      <c r="K87" s="236">
        <v>7</v>
      </c>
      <c r="L87" s="277" t="s">
        <v>190</v>
      </c>
      <c r="M87" s="276">
        <v>2002</v>
      </c>
      <c r="N87" s="276">
        <v>2002</v>
      </c>
      <c r="O87" s="236" t="s">
        <v>193</v>
      </c>
      <c r="P87" s="236" t="s">
        <v>199</v>
      </c>
      <c r="Q87" s="236" t="s">
        <v>199</v>
      </c>
      <c r="R87" s="238" t="s">
        <v>181</v>
      </c>
      <c r="S87" s="236">
        <v>1</v>
      </c>
      <c r="T87" s="236">
        <v>7</v>
      </c>
      <c r="U87" s="236">
        <v>7</v>
      </c>
      <c r="V87" s="236"/>
      <c r="W87" s="236">
        <v>0</v>
      </c>
      <c r="X87" s="236">
        <v>0</v>
      </c>
      <c r="Y87" s="236">
        <v>0</v>
      </c>
      <c r="Z87" s="236">
        <v>7</v>
      </c>
      <c r="AA87" s="236">
        <v>0</v>
      </c>
      <c r="AB87" s="236">
        <v>0</v>
      </c>
      <c r="AC87" s="236">
        <v>0</v>
      </c>
      <c r="AD87" s="236" t="s">
        <v>145</v>
      </c>
      <c r="AE87" s="236">
        <v>0</v>
      </c>
      <c r="AF87" s="236" t="s">
        <v>208</v>
      </c>
      <c r="AG87" s="236">
        <v>0</v>
      </c>
      <c r="AH87" s="236">
        <v>1</v>
      </c>
      <c r="AI87" s="236"/>
      <c r="AJ87" s="236">
        <v>0</v>
      </c>
      <c r="AK87" s="236">
        <v>1</v>
      </c>
      <c r="AL87" s="236">
        <v>1</v>
      </c>
      <c r="AM87" s="236"/>
      <c r="AN87" s="236"/>
      <c r="AO87" s="236"/>
      <c r="AP87" s="236"/>
      <c r="AQ87" s="236">
        <v>555682486</v>
      </c>
      <c r="AR87" s="236" t="s">
        <v>193</v>
      </c>
      <c r="AS87" s="236" t="s">
        <v>193</v>
      </c>
      <c r="AT87" s="236" t="s">
        <v>180</v>
      </c>
      <c r="AU87" s="199"/>
      <c r="AV87" s="236"/>
      <c r="AW87" s="236"/>
    </row>
    <row r="88" spans="1:49" ht="91.5">
      <c r="A88" s="236" t="s">
        <v>169</v>
      </c>
      <c r="B88" s="236">
        <v>4525</v>
      </c>
      <c r="C88" s="236" t="s">
        <v>545</v>
      </c>
      <c r="D88" s="236"/>
      <c r="E88" s="236" t="s">
        <v>546</v>
      </c>
      <c r="F88" s="276" t="s">
        <v>54</v>
      </c>
      <c r="G88" s="276" t="s">
        <v>173</v>
      </c>
      <c r="H88" s="236" t="s">
        <v>270</v>
      </c>
      <c r="I88" s="201" t="s">
        <v>547</v>
      </c>
      <c r="J88" s="236" t="s">
        <v>548</v>
      </c>
      <c r="K88" s="236">
        <v>45.9</v>
      </c>
      <c r="L88" s="277" t="s">
        <v>190</v>
      </c>
      <c r="M88" s="276">
        <v>2002</v>
      </c>
      <c r="N88" s="276">
        <v>2002</v>
      </c>
      <c r="O88" s="215" t="s">
        <v>549</v>
      </c>
      <c r="P88" s="236" t="s">
        <v>199</v>
      </c>
      <c r="Q88" s="236" t="s">
        <v>199</v>
      </c>
      <c r="R88" s="238" t="s">
        <v>181</v>
      </c>
      <c r="S88" s="236">
        <v>1</v>
      </c>
      <c r="T88" s="236">
        <v>28.680352979999999</v>
      </c>
      <c r="U88" s="236">
        <v>28.680352979999999</v>
      </c>
      <c r="V88" s="236"/>
      <c r="W88" s="236">
        <v>0</v>
      </c>
      <c r="X88" s="236">
        <v>0</v>
      </c>
      <c r="Y88" s="236">
        <v>0</v>
      </c>
      <c r="Z88" s="236">
        <v>28.680352979999999</v>
      </c>
      <c r="AA88" s="236">
        <v>0</v>
      </c>
      <c r="AB88" s="236">
        <v>0</v>
      </c>
      <c r="AC88" s="236">
        <v>0</v>
      </c>
      <c r="AD88" s="236" t="s">
        <v>145</v>
      </c>
      <c r="AE88" s="236">
        <v>0</v>
      </c>
      <c r="AF88" s="236" t="s">
        <v>208</v>
      </c>
      <c r="AG88" s="236">
        <v>0</v>
      </c>
      <c r="AH88" s="236">
        <v>1</v>
      </c>
      <c r="AI88" s="236"/>
      <c r="AJ88" s="236">
        <v>0</v>
      </c>
      <c r="AK88" s="236">
        <v>1</v>
      </c>
      <c r="AL88" s="236">
        <v>1</v>
      </c>
      <c r="AM88" s="236"/>
      <c r="AN88" s="236"/>
      <c r="AO88" s="236"/>
      <c r="AP88" s="236"/>
      <c r="AQ88" s="236">
        <v>555759157</v>
      </c>
      <c r="AR88" s="236" t="s">
        <v>193</v>
      </c>
      <c r="AS88" s="236" t="s">
        <v>193</v>
      </c>
      <c r="AT88" s="236" t="s">
        <v>180</v>
      </c>
      <c r="AU88" s="199"/>
      <c r="AV88" s="236"/>
      <c r="AW88" s="236"/>
    </row>
    <row r="89" spans="1:49" s="240" customFormat="1" ht="30.75">
      <c r="A89" s="236" t="s">
        <v>169</v>
      </c>
      <c r="B89" s="236">
        <v>1078</v>
      </c>
      <c r="C89" s="236" t="s">
        <v>550</v>
      </c>
      <c r="D89" s="236"/>
      <c r="E89" s="236" t="s">
        <v>551</v>
      </c>
      <c r="F89" s="276" t="s">
        <v>54</v>
      </c>
      <c r="G89" s="276" t="s">
        <v>173</v>
      </c>
      <c r="H89" s="236" t="s">
        <v>270</v>
      </c>
      <c r="I89" s="199" t="s">
        <v>552</v>
      </c>
      <c r="J89" s="236" t="s">
        <v>553</v>
      </c>
      <c r="K89" s="236">
        <v>10</v>
      </c>
      <c r="L89" s="277" t="s">
        <v>190</v>
      </c>
      <c r="M89" s="276">
        <v>2002</v>
      </c>
      <c r="N89" s="276">
        <v>2002</v>
      </c>
      <c r="O89" s="236" t="s">
        <v>193</v>
      </c>
      <c r="P89" s="236" t="s">
        <v>199</v>
      </c>
      <c r="Q89" s="236" t="s">
        <v>199</v>
      </c>
      <c r="R89" s="238" t="s">
        <v>181</v>
      </c>
      <c r="S89" s="236">
        <v>1</v>
      </c>
      <c r="T89" s="236">
        <v>10.002601569999999</v>
      </c>
      <c r="U89" s="236">
        <v>10.002601569999999</v>
      </c>
      <c r="V89" s="236"/>
      <c r="W89" s="236">
        <v>0</v>
      </c>
      <c r="X89" s="236">
        <v>0</v>
      </c>
      <c r="Y89" s="236">
        <v>0</v>
      </c>
      <c r="Z89" s="236">
        <v>10.002601569999999</v>
      </c>
      <c r="AA89" s="236">
        <v>0</v>
      </c>
      <c r="AB89" s="236">
        <v>0</v>
      </c>
      <c r="AC89" s="236">
        <v>0</v>
      </c>
      <c r="AD89" s="236" t="s">
        <v>145</v>
      </c>
      <c r="AE89" s="236">
        <v>0</v>
      </c>
      <c r="AF89" s="236" t="s">
        <v>208</v>
      </c>
      <c r="AG89" s="236">
        <v>0</v>
      </c>
      <c r="AH89" s="236">
        <v>1</v>
      </c>
      <c r="AI89" s="236"/>
      <c r="AJ89" s="236">
        <v>0</v>
      </c>
      <c r="AK89" s="236">
        <v>0</v>
      </c>
      <c r="AL89" s="236">
        <v>0</v>
      </c>
      <c r="AM89" s="236"/>
      <c r="AN89" s="236"/>
      <c r="AO89" s="236"/>
      <c r="AP89" s="236"/>
      <c r="AQ89" s="236">
        <v>555600158</v>
      </c>
      <c r="AR89" s="236" t="s">
        <v>193</v>
      </c>
      <c r="AS89" s="236" t="s">
        <v>193</v>
      </c>
      <c r="AT89" s="236" t="s">
        <v>180</v>
      </c>
      <c r="AU89" s="199"/>
      <c r="AV89" s="236"/>
      <c r="AW89" s="236"/>
    </row>
    <row r="90" spans="1:49" s="240" customFormat="1">
      <c r="A90" s="276" t="s">
        <v>235</v>
      </c>
      <c r="B90" s="276"/>
      <c r="C90" s="276"/>
      <c r="D90" s="276"/>
      <c r="E90" s="276" t="s">
        <v>554</v>
      </c>
      <c r="F90" s="277" t="s">
        <v>257</v>
      </c>
      <c r="G90" s="276" t="s">
        <v>116</v>
      </c>
      <c r="H90" s="198" t="s">
        <v>258</v>
      </c>
      <c r="I90" s="276" t="s">
        <v>555</v>
      </c>
      <c r="J90" s="276" t="s">
        <v>117</v>
      </c>
      <c r="K90" s="276"/>
      <c r="L90" s="277" t="s">
        <v>190</v>
      </c>
      <c r="M90" s="276">
        <v>2003</v>
      </c>
      <c r="N90" s="276"/>
      <c r="O90" s="276"/>
      <c r="P90" s="276"/>
      <c r="Q90" s="276"/>
      <c r="R90" s="277"/>
      <c r="S90" s="276"/>
      <c r="T90" s="276"/>
      <c r="U90" s="276"/>
      <c r="V90" s="276"/>
      <c r="W90" s="276"/>
      <c r="X90" s="276"/>
      <c r="Y90" s="276"/>
      <c r="Z90" s="276"/>
      <c r="AA90" s="276"/>
      <c r="AB90" s="276"/>
      <c r="AC90" s="276"/>
      <c r="AD90" s="276"/>
      <c r="AE90" s="276"/>
      <c r="AF90" s="276"/>
      <c r="AG90" s="276"/>
      <c r="AH90" s="276"/>
      <c r="AI90" s="276"/>
      <c r="AJ90" s="276"/>
      <c r="AK90" s="276"/>
      <c r="AL90" s="276"/>
      <c r="AM90" s="276"/>
      <c r="AN90" s="276"/>
      <c r="AO90" s="276"/>
      <c r="AP90" s="276"/>
      <c r="AQ90" s="276"/>
      <c r="AR90" s="276"/>
      <c r="AS90" s="276"/>
      <c r="AT90" s="276"/>
      <c r="AU90" s="276"/>
      <c r="AV90" s="276"/>
      <c r="AW90" s="236"/>
    </row>
    <row r="91" spans="1:49" s="240" customFormat="1">
      <c r="A91" s="276" t="s">
        <v>235</v>
      </c>
      <c r="B91" s="276"/>
      <c r="C91" s="276"/>
      <c r="D91" s="276"/>
      <c r="E91" s="276" t="s">
        <v>556</v>
      </c>
      <c r="F91" s="277" t="s">
        <v>257</v>
      </c>
      <c r="G91" s="276" t="s">
        <v>116</v>
      </c>
      <c r="H91" s="198" t="s">
        <v>258</v>
      </c>
      <c r="I91" s="276" t="s">
        <v>557</v>
      </c>
      <c r="J91" s="276" t="s">
        <v>117</v>
      </c>
      <c r="K91" s="276" t="s">
        <v>368</v>
      </c>
      <c r="L91" s="277" t="s">
        <v>190</v>
      </c>
      <c r="M91" s="276">
        <v>2019</v>
      </c>
      <c r="N91" s="276"/>
      <c r="O91" s="276"/>
      <c r="P91" s="276"/>
      <c r="Q91" s="276"/>
      <c r="R91" s="277"/>
      <c r="S91" s="276"/>
      <c r="T91" s="276"/>
      <c r="U91" s="276"/>
      <c r="V91" s="276"/>
      <c r="W91" s="276"/>
      <c r="X91" s="276"/>
      <c r="Y91" s="276"/>
      <c r="Z91" s="276"/>
      <c r="AA91" s="276"/>
      <c r="AB91" s="276"/>
      <c r="AC91" s="276"/>
      <c r="AD91" s="276"/>
      <c r="AE91" s="276"/>
      <c r="AF91" s="276"/>
      <c r="AG91" s="276"/>
      <c r="AH91" s="276"/>
      <c r="AI91" s="276"/>
      <c r="AJ91" s="276"/>
      <c r="AK91" s="276"/>
      <c r="AL91" s="276"/>
      <c r="AM91" s="276"/>
      <c r="AN91" s="276"/>
      <c r="AO91" s="276"/>
      <c r="AP91" s="276"/>
      <c r="AQ91" s="276"/>
      <c r="AR91" s="276"/>
      <c r="AS91" s="276"/>
      <c r="AT91" s="276" t="s">
        <v>180</v>
      </c>
      <c r="AU91" s="276"/>
      <c r="AV91" s="276"/>
      <c r="AW91" s="236"/>
    </row>
    <row r="92" spans="1:49" s="240" customFormat="1">
      <c r="A92" s="276" t="s">
        <v>235</v>
      </c>
      <c r="B92" s="276"/>
      <c r="C92" s="276"/>
      <c r="D92" s="276"/>
      <c r="E92" s="276" t="s">
        <v>558</v>
      </c>
      <c r="F92" s="277" t="s">
        <v>257</v>
      </c>
      <c r="G92" s="276" t="s">
        <v>116</v>
      </c>
      <c r="H92" s="198" t="s">
        <v>258</v>
      </c>
      <c r="I92" s="276" t="s">
        <v>559</v>
      </c>
      <c r="J92" s="276" t="s">
        <v>117</v>
      </c>
      <c r="K92" s="276" t="s">
        <v>368</v>
      </c>
      <c r="L92" s="277" t="s">
        <v>190</v>
      </c>
      <c r="M92" s="276">
        <v>2019</v>
      </c>
      <c r="N92" s="276"/>
      <c r="O92" s="276"/>
      <c r="P92" s="276"/>
      <c r="Q92" s="276"/>
      <c r="R92" s="277"/>
      <c r="S92" s="276"/>
      <c r="T92" s="276"/>
      <c r="U92" s="276"/>
      <c r="V92" s="276"/>
      <c r="W92" s="276"/>
      <c r="X92" s="276"/>
      <c r="Y92" s="276"/>
      <c r="Z92" s="276"/>
      <c r="AA92" s="276"/>
      <c r="AB92" s="276"/>
      <c r="AC92" s="276"/>
      <c r="AD92" s="276"/>
      <c r="AE92" s="276"/>
      <c r="AF92" s="276"/>
      <c r="AG92" s="276"/>
      <c r="AH92" s="276"/>
      <c r="AI92" s="276"/>
      <c r="AJ92" s="276"/>
      <c r="AK92" s="276"/>
      <c r="AL92" s="276"/>
      <c r="AM92" s="276"/>
      <c r="AN92" s="276"/>
      <c r="AO92" s="276"/>
      <c r="AP92" s="276"/>
      <c r="AQ92" s="276"/>
      <c r="AR92" s="276"/>
      <c r="AS92" s="276"/>
      <c r="AT92" s="276" t="s">
        <v>180</v>
      </c>
      <c r="AU92" s="276"/>
      <c r="AV92" s="276" t="s">
        <v>560</v>
      </c>
      <c r="AW92" s="236"/>
    </row>
    <row r="93" spans="1:49" s="240" customFormat="1" ht="30.75">
      <c r="A93" s="276" t="s">
        <v>169</v>
      </c>
      <c r="B93" s="236">
        <v>788</v>
      </c>
      <c r="C93" s="236" t="s">
        <v>561</v>
      </c>
      <c r="D93" s="276"/>
      <c r="E93" s="276" t="s">
        <v>562</v>
      </c>
      <c r="F93" s="276" t="s">
        <v>172</v>
      </c>
      <c r="G93" s="197" t="s">
        <v>220</v>
      </c>
      <c r="H93" s="198" t="s">
        <v>174</v>
      </c>
      <c r="I93" s="276" t="s">
        <v>563</v>
      </c>
      <c r="J93" s="236" t="s">
        <v>564</v>
      </c>
      <c r="K93" s="276">
        <v>612</v>
      </c>
      <c r="L93" s="277" t="s">
        <v>190</v>
      </c>
      <c r="M93" s="276">
        <v>2003</v>
      </c>
      <c r="N93" s="236">
        <v>2003</v>
      </c>
      <c r="O93" s="236" t="s">
        <v>193</v>
      </c>
      <c r="P93" s="276" t="s">
        <v>193</v>
      </c>
      <c r="Q93" s="236" t="s">
        <v>121</v>
      </c>
      <c r="R93" s="238" t="s">
        <v>224</v>
      </c>
      <c r="S93" s="236">
        <v>1</v>
      </c>
      <c r="T93" s="236">
        <v>626</v>
      </c>
      <c r="U93" s="236">
        <v>626</v>
      </c>
      <c r="V93" s="236"/>
      <c r="W93" s="236">
        <v>0</v>
      </c>
      <c r="X93" s="236">
        <v>0</v>
      </c>
      <c r="Y93" s="236">
        <v>0</v>
      </c>
      <c r="Z93" s="236">
        <v>626</v>
      </c>
      <c r="AA93" s="236">
        <v>0</v>
      </c>
      <c r="AB93" s="236">
        <v>0</v>
      </c>
      <c r="AC93" s="236">
        <v>0</v>
      </c>
      <c r="AD93" s="236" t="s">
        <v>145</v>
      </c>
      <c r="AE93" s="236">
        <v>0</v>
      </c>
      <c r="AF93" s="236" t="s">
        <v>182</v>
      </c>
      <c r="AG93" s="236">
        <v>1</v>
      </c>
      <c r="AH93" s="236">
        <v>0</v>
      </c>
      <c r="AI93" s="236"/>
      <c r="AJ93" s="236">
        <v>0</v>
      </c>
      <c r="AK93" s="236">
        <v>0</v>
      </c>
      <c r="AL93" s="236">
        <v>0</v>
      </c>
      <c r="AM93" s="236"/>
      <c r="AN93" s="236"/>
      <c r="AO93" s="236"/>
      <c r="AP93" s="236"/>
      <c r="AQ93" s="236">
        <v>351872</v>
      </c>
      <c r="AR93" s="276" t="s">
        <v>193</v>
      </c>
      <c r="AS93" s="276"/>
      <c r="AT93" s="276" t="s">
        <v>180</v>
      </c>
      <c r="AU93" s="250" t="s">
        <v>565</v>
      </c>
      <c r="AV93" s="276"/>
      <c r="AW93" s="236"/>
    </row>
    <row r="94" spans="1:49" s="240" customFormat="1" ht="30.75">
      <c r="A94" s="276" t="s">
        <v>169</v>
      </c>
      <c r="B94" s="236">
        <v>789</v>
      </c>
      <c r="C94" s="236" t="s">
        <v>566</v>
      </c>
      <c r="D94" s="276"/>
      <c r="E94" s="276" t="s">
        <v>567</v>
      </c>
      <c r="F94" s="276" t="s">
        <v>172</v>
      </c>
      <c r="G94" s="197" t="s">
        <v>220</v>
      </c>
      <c r="H94" s="198" t="s">
        <v>174</v>
      </c>
      <c r="I94" s="276" t="s">
        <v>568</v>
      </c>
      <c r="J94" s="236" t="s">
        <v>569</v>
      </c>
      <c r="K94" s="276">
        <v>740</v>
      </c>
      <c r="L94" s="277" t="s">
        <v>190</v>
      </c>
      <c r="M94" s="276">
        <v>2003</v>
      </c>
      <c r="N94" s="236">
        <v>2003</v>
      </c>
      <c r="O94" s="236" t="s">
        <v>193</v>
      </c>
      <c r="P94" s="276" t="s">
        <v>180</v>
      </c>
      <c r="Q94" s="236" t="s">
        <v>121</v>
      </c>
      <c r="R94" s="238" t="s">
        <v>224</v>
      </c>
      <c r="S94" s="236">
        <v>1</v>
      </c>
      <c r="T94" s="236">
        <v>725</v>
      </c>
      <c r="U94" s="236">
        <v>725</v>
      </c>
      <c r="V94" s="236"/>
      <c r="W94" s="236">
        <v>0</v>
      </c>
      <c r="X94" s="236">
        <v>0</v>
      </c>
      <c r="Y94" s="236">
        <v>0</v>
      </c>
      <c r="Z94" s="236">
        <v>725</v>
      </c>
      <c r="AA94" s="236">
        <v>0</v>
      </c>
      <c r="AB94" s="236">
        <v>0</v>
      </c>
      <c r="AC94" s="236">
        <v>0</v>
      </c>
      <c r="AD94" s="236" t="s">
        <v>145</v>
      </c>
      <c r="AE94" s="236">
        <v>0</v>
      </c>
      <c r="AF94" s="236" t="s">
        <v>182</v>
      </c>
      <c r="AG94" s="236">
        <v>1</v>
      </c>
      <c r="AH94" s="236">
        <v>0</v>
      </c>
      <c r="AI94" s="236"/>
      <c r="AJ94" s="236">
        <v>0</v>
      </c>
      <c r="AK94" s="236">
        <v>0</v>
      </c>
      <c r="AL94" s="236">
        <v>0</v>
      </c>
      <c r="AM94" s="236"/>
      <c r="AN94" s="236"/>
      <c r="AO94" s="236"/>
      <c r="AP94" s="236"/>
      <c r="AQ94" s="236">
        <v>351873</v>
      </c>
      <c r="AR94" s="276" t="s">
        <v>570</v>
      </c>
      <c r="AS94" s="276"/>
      <c r="AT94" s="276" t="s">
        <v>180</v>
      </c>
      <c r="AU94" s="250" t="s">
        <v>571</v>
      </c>
      <c r="AV94" s="276"/>
      <c r="AW94" s="236"/>
    </row>
    <row r="95" spans="1:49" s="240" customFormat="1" ht="30.75">
      <c r="A95" s="276" t="s">
        <v>169</v>
      </c>
      <c r="B95" s="198">
        <v>2924</v>
      </c>
      <c r="C95" s="213">
        <v>910422924</v>
      </c>
      <c r="D95" s="276"/>
      <c r="E95" s="276" t="s">
        <v>572</v>
      </c>
      <c r="F95" s="276" t="s">
        <v>295</v>
      </c>
      <c r="G95" s="276" t="s">
        <v>116</v>
      </c>
      <c r="H95" s="236" t="s">
        <v>270</v>
      </c>
      <c r="I95" s="276" t="s">
        <v>573</v>
      </c>
      <c r="J95" s="276" t="s">
        <v>574</v>
      </c>
      <c r="K95" s="276">
        <v>391.5</v>
      </c>
      <c r="L95" s="277" t="s">
        <v>190</v>
      </c>
      <c r="M95" s="276">
        <v>2003</v>
      </c>
      <c r="N95" s="236">
        <v>2014</v>
      </c>
      <c r="O95" s="236" t="s">
        <v>575</v>
      </c>
      <c r="P95" s="276" t="s">
        <v>180</v>
      </c>
      <c r="Q95" s="276"/>
      <c r="R95" s="277" t="s">
        <v>288</v>
      </c>
      <c r="S95" s="236">
        <v>1</v>
      </c>
      <c r="T95" s="236">
        <v>391</v>
      </c>
      <c r="U95" s="236">
        <v>391</v>
      </c>
      <c r="V95" s="236"/>
      <c r="W95" s="236">
        <v>0</v>
      </c>
      <c r="X95" s="236">
        <v>0</v>
      </c>
      <c r="Y95" s="236">
        <v>0</v>
      </c>
      <c r="Z95" s="236">
        <v>391</v>
      </c>
      <c r="AA95" s="236">
        <v>0</v>
      </c>
      <c r="AB95" s="236">
        <v>0</v>
      </c>
      <c r="AC95" s="236">
        <v>0</v>
      </c>
      <c r="AD95" s="236" t="s">
        <v>145</v>
      </c>
      <c r="AE95" s="236">
        <v>0</v>
      </c>
      <c r="AF95" s="236" t="s">
        <v>208</v>
      </c>
      <c r="AG95" s="236">
        <v>0</v>
      </c>
      <c r="AH95" s="236">
        <v>1</v>
      </c>
      <c r="AI95" s="236"/>
      <c r="AJ95" s="236">
        <v>0</v>
      </c>
      <c r="AK95" s="236">
        <v>1</v>
      </c>
      <c r="AL95" s="236">
        <v>1</v>
      </c>
      <c r="AM95" s="276"/>
      <c r="AN95" s="276"/>
      <c r="AO95" s="276"/>
      <c r="AP95" s="276"/>
      <c r="AQ95" s="236">
        <v>555758938</v>
      </c>
      <c r="AR95" s="276"/>
      <c r="AS95" s="276"/>
      <c r="AT95" s="276"/>
      <c r="AU95" s="250" t="s">
        <v>576</v>
      </c>
      <c r="AV95" s="276"/>
      <c r="AW95" s="236"/>
    </row>
    <row r="96" spans="1:49">
      <c r="A96" s="276" t="s">
        <v>235</v>
      </c>
      <c r="B96" s="276"/>
      <c r="C96" s="276"/>
      <c r="D96" s="276"/>
      <c r="E96" s="276" t="s">
        <v>577</v>
      </c>
      <c r="F96" s="277" t="s">
        <v>257</v>
      </c>
      <c r="G96" s="276" t="s">
        <v>116</v>
      </c>
      <c r="H96" s="198" t="s">
        <v>258</v>
      </c>
      <c r="I96" s="276" t="s">
        <v>578</v>
      </c>
      <c r="J96" s="276" t="s">
        <v>117</v>
      </c>
      <c r="K96" s="197">
        <v>135.80000000000001</v>
      </c>
      <c r="L96" s="277" t="s">
        <v>190</v>
      </c>
      <c r="M96" s="276">
        <v>2024</v>
      </c>
      <c r="N96" s="276"/>
      <c r="O96" s="276"/>
      <c r="P96" s="276"/>
      <c r="Q96" s="276"/>
      <c r="R96" s="277"/>
      <c r="S96" s="276"/>
      <c r="T96" s="276"/>
      <c r="U96" s="276"/>
      <c r="V96" s="197"/>
      <c r="W96" s="197"/>
      <c r="X96" s="197"/>
      <c r="Y96" s="197"/>
      <c r="Z96" s="197"/>
      <c r="AA96" s="197"/>
      <c r="AB96" s="197"/>
      <c r="AC96" s="197"/>
      <c r="AD96" s="197"/>
      <c r="AE96" s="197"/>
      <c r="AF96" s="197"/>
      <c r="AG96" s="197"/>
      <c r="AH96" s="197"/>
      <c r="AI96" s="197"/>
      <c r="AJ96" s="197"/>
      <c r="AK96" s="197"/>
      <c r="AL96" s="197"/>
      <c r="AM96" s="197"/>
      <c r="AN96" s="197"/>
      <c r="AO96" s="197"/>
      <c r="AP96" s="197"/>
      <c r="AQ96" s="197"/>
      <c r="AR96" s="276" t="s">
        <v>235</v>
      </c>
      <c r="AS96" s="276"/>
      <c r="AT96" s="276"/>
      <c r="AU96" s="276"/>
      <c r="AV96" s="276"/>
      <c r="AW96" s="236"/>
    </row>
    <row r="97" spans="1:49">
      <c r="A97" s="276" t="s">
        <v>235</v>
      </c>
      <c r="B97" s="276"/>
      <c r="C97" s="276"/>
      <c r="D97" s="276"/>
      <c r="E97" s="276" t="s">
        <v>579</v>
      </c>
      <c r="F97" s="277" t="s">
        <v>257</v>
      </c>
      <c r="G97" s="276" t="s">
        <v>116</v>
      </c>
      <c r="H97" s="198" t="s">
        <v>258</v>
      </c>
      <c r="I97" s="276" t="s">
        <v>578</v>
      </c>
      <c r="J97" s="276" t="s">
        <v>117</v>
      </c>
      <c r="K97" s="276" t="s">
        <v>368</v>
      </c>
      <c r="L97" s="277" t="s">
        <v>190</v>
      </c>
      <c r="M97" s="276">
        <v>2024</v>
      </c>
      <c r="N97" s="276"/>
      <c r="O97" s="276"/>
      <c r="P97" s="276"/>
      <c r="Q97" s="276"/>
      <c r="R97" s="277"/>
      <c r="S97" s="276"/>
      <c r="T97" s="276"/>
      <c r="U97" s="276"/>
      <c r="V97" s="276"/>
      <c r="W97" s="276"/>
      <c r="X97" s="276"/>
      <c r="Y97" s="276"/>
      <c r="Z97" s="276"/>
      <c r="AA97" s="276"/>
      <c r="AB97" s="276"/>
      <c r="AC97" s="276"/>
      <c r="AD97" s="276"/>
      <c r="AE97" s="276"/>
      <c r="AF97" s="276"/>
      <c r="AG97" s="276"/>
      <c r="AH97" s="276"/>
      <c r="AI97" s="276"/>
      <c r="AJ97" s="276"/>
      <c r="AK97" s="276"/>
      <c r="AL97" s="276"/>
      <c r="AM97" s="276"/>
      <c r="AN97" s="276"/>
      <c r="AO97" s="276"/>
      <c r="AP97" s="276"/>
      <c r="AQ97" s="276"/>
      <c r="AR97" s="276" t="s">
        <v>235</v>
      </c>
      <c r="AS97" s="276"/>
      <c r="AT97" s="276"/>
      <c r="AU97" s="276"/>
      <c r="AV97" s="276"/>
      <c r="AW97" s="236"/>
    </row>
    <row r="98" spans="1:49" s="240" customFormat="1" ht="30.75">
      <c r="A98" s="236" t="s">
        <v>169</v>
      </c>
      <c r="B98" s="236">
        <v>1101</v>
      </c>
      <c r="C98" s="236" t="s">
        <v>580</v>
      </c>
      <c r="D98" s="236"/>
      <c r="E98" s="236" t="s">
        <v>581</v>
      </c>
      <c r="F98" s="276" t="s">
        <v>54</v>
      </c>
      <c r="G98" s="276" t="s">
        <v>173</v>
      </c>
      <c r="H98" s="236" t="s">
        <v>270</v>
      </c>
      <c r="I98" s="199" t="s">
        <v>582</v>
      </c>
      <c r="J98" s="236" t="s">
        <v>583</v>
      </c>
      <c r="K98" s="236">
        <v>226.47</v>
      </c>
      <c r="L98" s="277" t="s">
        <v>190</v>
      </c>
      <c r="M98" s="276">
        <v>2004</v>
      </c>
      <c r="N98" s="276">
        <v>2004</v>
      </c>
      <c r="O98" s="236" t="s">
        <v>193</v>
      </c>
      <c r="P98" s="236" t="s">
        <v>199</v>
      </c>
      <c r="Q98" s="236" t="s">
        <v>199</v>
      </c>
      <c r="R98" s="238" t="s">
        <v>181</v>
      </c>
      <c r="S98" s="236">
        <v>1</v>
      </c>
      <c r="T98" s="236">
        <v>228</v>
      </c>
      <c r="U98" s="236">
        <v>228</v>
      </c>
      <c r="V98" s="236"/>
      <c r="W98" s="236">
        <v>0</v>
      </c>
      <c r="X98" s="236">
        <v>0</v>
      </c>
      <c r="Y98" s="236">
        <v>0</v>
      </c>
      <c r="Z98" s="236">
        <v>228</v>
      </c>
      <c r="AA98" s="236">
        <v>0</v>
      </c>
      <c r="AB98" s="236">
        <v>0</v>
      </c>
      <c r="AC98" s="236">
        <v>0</v>
      </c>
      <c r="AD98" s="236" t="s">
        <v>145</v>
      </c>
      <c r="AE98" s="236">
        <v>0</v>
      </c>
      <c r="AF98" s="236" t="s">
        <v>208</v>
      </c>
      <c r="AG98" s="236">
        <v>0</v>
      </c>
      <c r="AH98" s="236">
        <v>1</v>
      </c>
      <c r="AI98" s="236"/>
      <c r="AJ98" s="236">
        <v>0</v>
      </c>
      <c r="AK98" s="236">
        <v>1</v>
      </c>
      <c r="AL98" s="236">
        <v>1</v>
      </c>
      <c r="AM98" s="236"/>
      <c r="AN98" s="236"/>
      <c r="AO98" s="236"/>
      <c r="AP98" s="236"/>
      <c r="AQ98" s="236">
        <v>555600146</v>
      </c>
      <c r="AR98" s="236" t="s">
        <v>193</v>
      </c>
      <c r="AS98" s="236" t="s">
        <v>193</v>
      </c>
      <c r="AT98" s="236" t="s">
        <v>180</v>
      </c>
      <c r="AU98" s="199"/>
      <c r="AV98" s="236"/>
      <c r="AW98" s="236"/>
    </row>
    <row r="99" spans="1:49" s="240" customFormat="1" ht="15" customHeight="1">
      <c r="A99" s="236" t="s">
        <v>169</v>
      </c>
      <c r="B99" s="236">
        <v>150</v>
      </c>
      <c r="C99" s="236" t="s">
        <v>584</v>
      </c>
      <c r="D99" s="236"/>
      <c r="E99" s="236" t="s">
        <v>585</v>
      </c>
      <c r="F99" s="276" t="s">
        <v>172</v>
      </c>
      <c r="G99" s="276" t="s">
        <v>173</v>
      </c>
      <c r="H99" s="198" t="s">
        <v>174</v>
      </c>
      <c r="I99" s="236" t="s">
        <v>586</v>
      </c>
      <c r="J99" s="238" t="s">
        <v>587</v>
      </c>
      <c r="K99" s="211">
        <v>57375.14</v>
      </c>
      <c r="L99" s="277" t="s">
        <v>190</v>
      </c>
      <c r="M99" s="276">
        <v>2004</v>
      </c>
      <c r="N99" s="236">
        <v>2006</v>
      </c>
      <c r="O99" s="276" t="s">
        <v>588</v>
      </c>
      <c r="P99" s="276" t="s">
        <v>180</v>
      </c>
      <c r="Q99" s="236" t="s">
        <v>121</v>
      </c>
      <c r="R99" s="238" t="s">
        <v>181</v>
      </c>
      <c r="S99" s="236">
        <v>1</v>
      </c>
      <c r="T99" s="237">
        <v>56918</v>
      </c>
      <c r="U99" s="237">
        <v>56918</v>
      </c>
      <c r="V99" s="236"/>
      <c r="W99" s="236">
        <v>0</v>
      </c>
      <c r="X99" s="236">
        <v>0</v>
      </c>
      <c r="Y99" s="236">
        <v>0</v>
      </c>
      <c r="Z99" s="237">
        <v>56918</v>
      </c>
      <c r="AA99" s="236">
        <v>0</v>
      </c>
      <c r="AB99" s="236">
        <v>0</v>
      </c>
      <c r="AC99" s="236">
        <v>0</v>
      </c>
      <c r="AD99" s="236" t="s">
        <v>145</v>
      </c>
      <c r="AE99" s="236">
        <v>0</v>
      </c>
      <c r="AF99" s="236" t="s">
        <v>182</v>
      </c>
      <c r="AG99" s="236">
        <v>1</v>
      </c>
      <c r="AH99" s="236">
        <v>0</v>
      </c>
      <c r="AI99" s="236"/>
      <c r="AJ99" s="236">
        <v>0</v>
      </c>
      <c r="AK99" s="236">
        <v>0</v>
      </c>
      <c r="AL99" s="236">
        <v>0</v>
      </c>
      <c r="AM99" s="236"/>
      <c r="AN99" s="236"/>
      <c r="AO99" s="236"/>
      <c r="AP99" s="236"/>
      <c r="AQ99" s="236">
        <v>351828</v>
      </c>
      <c r="AR99" s="236" t="s">
        <v>589</v>
      </c>
      <c r="AS99" s="236" t="s">
        <v>590</v>
      </c>
      <c r="AT99" s="236" t="s">
        <v>180</v>
      </c>
      <c r="AU99" s="236"/>
      <c r="AV99" s="236"/>
      <c r="AW99" s="236"/>
    </row>
    <row r="100" spans="1:49" s="240" customFormat="1" ht="41.25" customHeight="1">
      <c r="A100" s="276" t="s">
        <v>169</v>
      </c>
      <c r="B100" s="236">
        <v>787</v>
      </c>
      <c r="C100" s="236" t="s">
        <v>591</v>
      </c>
      <c r="D100" s="276"/>
      <c r="E100" s="276" t="s">
        <v>592</v>
      </c>
      <c r="F100" s="276" t="s">
        <v>172</v>
      </c>
      <c r="G100" s="197" t="s">
        <v>220</v>
      </c>
      <c r="H100" s="198" t="s">
        <v>174</v>
      </c>
      <c r="I100" s="276" t="s">
        <v>593</v>
      </c>
      <c r="J100" s="236" t="s">
        <v>594</v>
      </c>
      <c r="K100" s="200">
        <v>1200</v>
      </c>
      <c r="L100" s="277" t="s">
        <v>190</v>
      </c>
      <c r="M100" s="276">
        <v>2004</v>
      </c>
      <c r="N100" s="236">
        <v>2004</v>
      </c>
      <c r="O100" s="236" t="s">
        <v>193</v>
      </c>
      <c r="P100" s="276" t="s">
        <v>180</v>
      </c>
      <c r="Q100" s="236" t="s">
        <v>199</v>
      </c>
      <c r="R100" s="238" t="s">
        <v>224</v>
      </c>
      <c r="S100" s="236">
        <v>1</v>
      </c>
      <c r="T100" s="237">
        <v>1134</v>
      </c>
      <c r="U100" s="237">
        <v>1134</v>
      </c>
      <c r="V100" s="236"/>
      <c r="W100" s="236">
        <v>0</v>
      </c>
      <c r="X100" s="236">
        <v>0</v>
      </c>
      <c r="Y100" s="236">
        <v>0</v>
      </c>
      <c r="Z100" s="237">
        <v>1134</v>
      </c>
      <c r="AA100" s="236">
        <v>0</v>
      </c>
      <c r="AB100" s="236">
        <v>0</v>
      </c>
      <c r="AC100" s="236">
        <v>0</v>
      </c>
      <c r="AD100" s="236" t="s">
        <v>145</v>
      </c>
      <c r="AE100" s="236">
        <v>0</v>
      </c>
      <c r="AF100" s="236" t="s">
        <v>182</v>
      </c>
      <c r="AG100" s="236">
        <v>1</v>
      </c>
      <c r="AH100" s="236">
        <v>0</v>
      </c>
      <c r="AI100" s="236"/>
      <c r="AJ100" s="236">
        <v>0</v>
      </c>
      <c r="AK100" s="236">
        <v>0</v>
      </c>
      <c r="AL100" s="236">
        <v>0</v>
      </c>
      <c r="AM100" s="236"/>
      <c r="AN100" s="236"/>
      <c r="AO100" s="236"/>
      <c r="AP100" s="236"/>
      <c r="AQ100" s="236">
        <v>351874</v>
      </c>
      <c r="AR100" s="276" t="s">
        <v>595</v>
      </c>
      <c r="AS100" s="276"/>
      <c r="AT100" s="276" t="s">
        <v>180</v>
      </c>
      <c r="AU100" s="250" t="s">
        <v>596</v>
      </c>
      <c r="AV100" s="276"/>
      <c r="AW100" s="236"/>
    </row>
    <row r="101" spans="1:49" s="240" customFormat="1" ht="30" customHeight="1">
      <c r="A101" s="276" t="s">
        <v>169</v>
      </c>
      <c r="B101" s="236">
        <v>2926</v>
      </c>
      <c r="C101" s="236" t="s">
        <v>597</v>
      </c>
      <c r="D101" s="276"/>
      <c r="E101" s="276" t="s">
        <v>598</v>
      </c>
      <c r="F101" s="276" t="s">
        <v>172</v>
      </c>
      <c r="G101" s="276" t="s">
        <v>116</v>
      </c>
      <c r="H101" s="236" t="s">
        <v>174</v>
      </c>
      <c r="I101" s="276" t="s">
        <v>599</v>
      </c>
      <c r="J101" s="236" t="s">
        <v>286</v>
      </c>
      <c r="K101" s="276">
        <v>127.94</v>
      </c>
      <c r="L101" s="277" t="s">
        <v>190</v>
      </c>
      <c r="M101" s="276">
        <v>2004</v>
      </c>
      <c r="N101" s="276">
        <v>2021</v>
      </c>
      <c r="O101" s="276" t="s">
        <v>600</v>
      </c>
      <c r="P101" s="276" t="s">
        <v>180</v>
      </c>
      <c r="Q101" s="236" t="s">
        <v>121</v>
      </c>
      <c r="R101" s="277" t="s">
        <v>288</v>
      </c>
      <c r="S101" s="236">
        <v>1</v>
      </c>
      <c r="T101" s="236">
        <v>142</v>
      </c>
      <c r="U101" s="236">
        <v>142</v>
      </c>
      <c r="V101" s="236"/>
      <c r="W101" s="236">
        <v>0</v>
      </c>
      <c r="X101" s="236">
        <v>0</v>
      </c>
      <c r="Y101" s="236">
        <v>0</v>
      </c>
      <c r="Z101" s="236">
        <v>142</v>
      </c>
      <c r="AA101" s="236">
        <v>0</v>
      </c>
      <c r="AB101" s="236">
        <v>0</v>
      </c>
      <c r="AC101" s="236">
        <v>0</v>
      </c>
      <c r="AD101" s="236" t="s">
        <v>145</v>
      </c>
      <c r="AE101" s="236">
        <v>0</v>
      </c>
      <c r="AF101" s="236" t="s">
        <v>182</v>
      </c>
      <c r="AG101" s="236">
        <v>1</v>
      </c>
      <c r="AH101" s="236">
        <v>0</v>
      </c>
      <c r="AI101" s="236"/>
      <c r="AJ101" s="236">
        <v>0</v>
      </c>
      <c r="AK101" s="236">
        <v>1</v>
      </c>
      <c r="AL101" s="236">
        <v>1</v>
      </c>
      <c r="AM101" s="236"/>
      <c r="AN101" s="236"/>
      <c r="AO101" s="236"/>
      <c r="AP101" s="236"/>
      <c r="AQ101" s="236">
        <v>555576318</v>
      </c>
      <c r="AR101" s="276"/>
      <c r="AS101" s="276"/>
      <c r="AT101" s="276"/>
      <c r="AU101" s="250" t="s">
        <v>601</v>
      </c>
      <c r="AV101" s="276"/>
      <c r="AW101" s="236"/>
    </row>
    <row r="102" spans="1:49" s="240" customFormat="1">
      <c r="A102" s="276" t="s">
        <v>235</v>
      </c>
      <c r="B102" s="276"/>
      <c r="C102" s="276"/>
      <c r="D102" s="276"/>
      <c r="E102" s="276" t="s">
        <v>602</v>
      </c>
      <c r="F102" s="277" t="s">
        <v>257</v>
      </c>
      <c r="G102" s="276" t="s">
        <v>116</v>
      </c>
      <c r="H102" s="198" t="s">
        <v>258</v>
      </c>
      <c r="I102" s="276" t="s">
        <v>603</v>
      </c>
      <c r="J102" s="276" t="s">
        <v>604</v>
      </c>
      <c r="K102" s="276" t="s">
        <v>368</v>
      </c>
      <c r="L102" s="277" t="s">
        <v>190</v>
      </c>
      <c r="M102" s="276">
        <v>1990</v>
      </c>
      <c r="N102" s="276"/>
      <c r="O102" s="276"/>
      <c r="P102" s="276"/>
      <c r="Q102" s="276"/>
      <c r="R102" s="277"/>
      <c r="S102" s="276"/>
      <c r="T102" s="276"/>
      <c r="U102" s="276"/>
      <c r="V102" s="276"/>
      <c r="W102" s="276"/>
      <c r="X102" s="276"/>
      <c r="Y102" s="276"/>
      <c r="Z102" s="276"/>
      <c r="AA102" s="276"/>
      <c r="AB102" s="276"/>
      <c r="AC102" s="276"/>
      <c r="AD102" s="276"/>
      <c r="AE102" s="276"/>
      <c r="AF102" s="276"/>
      <c r="AG102" s="276"/>
      <c r="AH102" s="276"/>
      <c r="AI102" s="276"/>
      <c r="AJ102" s="276"/>
      <c r="AK102" s="276"/>
      <c r="AL102" s="276"/>
      <c r="AM102" s="276"/>
      <c r="AN102" s="276"/>
      <c r="AO102" s="276"/>
      <c r="AP102" s="276"/>
      <c r="AQ102" s="276"/>
      <c r="AR102" s="276"/>
      <c r="AS102" s="276"/>
      <c r="AT102" s="276" t="s">
        <v>180</v>
      </c>
      <c r="AU102" s="276"/>
      <c r="AV102" s="276"/>
      <c r="AW102" s="236"/>
    </row>
    <row r="103" spans="1:49" ht="15" customHeight="1">
      <c r="A103" s="236" t="s">
        <v>169</v>
      </c>
      <c r="B103" s="236">
        <v>2081</v>
      </c>
      <c r="C103" s="236" t="s">
        <v>605</v>
      </c>
      <c r="D103" s="236"/>
      <c r="E103" s="236" t="s">
        <v>606</v>
      </c>
      <c r="F103" s="276" t="s">
        <v>54</v>
      </c>
      <c r="G103" s="276" t="s">
        <v>173</v>
      </c>
      <c r="H103" s="236" t="s">
        <v>270</v>
      </c>
      <c r="I103" s="199" t="s">
        <v>607</v>
      </c>
      <c r="J103" s="236" t="s">
        <v>608</v>
      </c>
      <c r="K103" s="236">
        <v>14.04</v>
      </c>
      <c r="L103" s="277" t="s">
        <v>190</v>
      </c>
      <c r="M103" s="276">
        <v>2005</v>
      </c>
      <c r="N103" s="276">
        <v>2005</v>
      </c>
      <c r="O103" s="236" t="s">
        <v>193</v>
      </c>
      <c r="P103" s="236" t="s">
        <v>199</v>
      </c>
      <c r="Q103" s="236" t="s">
        <v>199</v>
      </c>
      <c r="R103" s="238" t="s">
        <v>181</v>
      </c>
      <c r="S103" s="236">
        <v>1</v>
      </c>
      <c r="T103" s="236">
        <v>14</v>
      </c>
      <c r="U103" s="236">
        <v>14</v>
      </c>
      <c r="V103" s="236"/>
      <c r="W103" s="236">
        <v>0</v>
      </c>
      <c r="X103" s="236">
        <v>0</v>
      </c>
      <c r="Y103" s="236">
        <v>0</v>
      </c>
      <c r="Z103" s="236">
        <v>14</v>
      </c>
      <c r="AA103" s="236">
        <v>0</v>
      </c>
      <c r="AB103" s="236">
        <v>0</v>
      </c>
      <c r="AC103" s="236">
        <v>0</v>
      </c>
      <c r="AD103" s="236" t="s">
        <v>145</v>
      </c>
      <c r="AE103" s="236">
        <v>0</v>
      </c>
      <c r="AF103" s="236" t="s">
        <v>208</v>
      </c>
      <c r="AG103" s="236">
        <v>0</v>
      </c>
      <c r="AH103" s="236">
        <v>1</v>
      </c>
      <c r="AI103" s="236"/>
      <c r="AJ103" s="236">
        <v>0</v>
      </c>
      <c r="AK103" s="236">
        <v>1</v>
      </c>
      <c r="AL103" s="236">
        <v>1</v>
      </c>
      <c r="AM103" s="236"/>
      <c r="AN103" s="236"/>
      <c r="AO103" s="236"/>
      <c r="AP103" s="236"/>
      <c r="AQ103" s="236">
        <v>555600098</v>
      </c>
      <c r="AR103" s="236" t="s">
        <v>193</v>
      </c>
      <c r="AS103" s="236" t="s">
        <v>193</v>
      </c>
      <c r="AT103" s="236" t="s">
        <v>180</v>
      </c>
      <c r="AU103" s="199"/>
      <c r="AV103" s="236"/>
      <c r="AW103" s="236"/>
    </row>
    <row r="104" spans="1:49" ht="32.25" customHeight="1">
      <c r="A104" s="236" t="s">
        <v>169</v>
      </c>
      <c r="B104" s="236">
        <v>1102</v>
      </c>
      <c r="C104" s="236" t="s">
        <v>609</v>
      </c>
      <c r="D104" s="236"/>
      <c r="E104" s="236" t="s">
        <v>610</v>
      </c>
      <c r="F104" s="276" t="s">
        <v>54</v>
      </c>
      <c r="G104" s="276" t="s">
        <v>173</v>
      </c>
      <c r="H104" s="236" t="s">
        <v>270</v>
      </c>
      <c r="I104" s="199" t="s">
        <v>611</v>
      </c>
      <c r="J104" s="236" t="s">
        <v>612</v>
      </c>
      <c r="K104" s="236" t="s">
        <v>613</v>
      </c>
      <c r="L104" s="277" t="s">
        <v>190</v>
      </c>
      <c r="M104" s="276">
        <v>2005</v>
      </c>
      <c r="N104" s="276">
        <v>2005</v>
      </c>
      <c r="O104" s="197" t="s">
        <v>614</v>
      </c>
      <c r="P104" s="236" t="s">
        <v>199</v>
      </c>
      <c r="Q104" s="236" t="s">
        <v>199</v>
      </c>
      <c r="R104" s="238" t="s">
        <v>181</v>
      </c>
      <c r="S104" s="236">
        <v>1</v>
      </c>
      <c r="T104" s="236">
        <v>20</v>
      </c>
      <c r="U104" s="236">
        <v>20</v>
      </c>
      <c r="V104" s="236"/>
      <c r="W104" s="236">
        <v>0</v>
      </c>
      <c r="X104" s="236">
        <v>0</v>
      </c>
      <c r="Y104" s="236">
        <v>0</v>
      </c>
      <c r="Z104" s="236">
        <v>20</v>
      </c>
      <c r="AA104" s="236">
        <v>0</v>
      </c>
      <c r="AB104" s="236">
        <v>0</v>
      </c>
      <c r="AC104" s="236">
        <v>0</v>
      </c>
      <c r="AD104" s="236" t="s">
        <v>145</v>
      </c>
      <c r="AE104" s="236">
        <v>0</v>
      </c>
      <c r="AF104" s="236" t="s">
        <v>208</v>
      </c>
      <c r="AG104" s="236">
        <v>0</v>
      </c>
      <c r="AH104" s="236">
        <v>1</v>
      </c>
      <c r="AI104" s="236"/>
      <c r="AJ104" s="236">
        <v>0</v>
      </c>
      <c r="AK104" s="236">
        <v>0</v>
      </c>
      <c r="AL104" s="236">
        <v>0</v>
      </c>
      <c r="AM104" s="236"/>
      <c r="AN104" s="236"/>
      <c r="AO104" s="236"/>
      <c r="AP104" s="236"/>
      <c r="AQ104" s="236">
        <v>555600107</v>
      </c>
      <c r="AR104" s="236" t="s">
        <v>193</v>
      </c>
      <c r="AS104" s="236" t="s">
        <v>193</v>
      </c>
      <c r="AT104" s="236"/>
      <c r="AU104" s="199"/>
      <c r="AV104" s="236"/>
      <c r="AW104" s="236"/>
    </row>
    <row r="105" spans="1:49" ht="15" customHeight="1">
      <c r="A105" s="236" t="s">
        <v>169</v>
      </c>
      <c r="B105" s="236">
        <v>261</v>
      </c>
      <c r="C105" s="236" t="s">
        <v>615</v>
      </c>
      <c r="D105" s="236"/>
      <c r="E105" s="236" t="s">
        <v>616</v>
      </c>
      <c r="F105" s="276" t="s">
        <v>29</v>
      </c>
      <c r="G105" s="276" t="s">
        <v>173</v>
      </c>
      <c r="H105" s="236" t="s">
        <v>230</v>
      </c>
      <c r="I105" s="236" t="s">
        <v>617</v>
      </c>
      <c r="J105" s="236" t="s">
        <v>618</v>
      </c>
      <c r="K105" s="211">
        <v>6566.54</v>
      </c>
      <c r="L105" s="277" t="s">
        <v>619</v>
      </c>
      <c r="M105" s="276">
        <v>2005</v>
      </c>
      <c r="N105" s="236">
        <v>2005</v>
      </c>
      <c r="O105" s="236" t="s">
        <v>193</v>
      </c>
      <c r="P105" s="276" t="s">
        <v>319</v>
      </c>
      <c r="Q105" s="236" t="s">
        <v>121</v>
      </c>
      <c r="R105" s="238" t="s">
        <v>181</v>
      </c>
      <c r="S105" s="236">
        <v>1</v>
      </c>
      <c r="T105" s="237">
        <v>6573</v>
      </c>
      <c r="U105" s="237">
        <v>6573</v>
      </c>
      <c r="V105" s="236">
        <v>0</v>
      </c>
      <c r="W105" s="236">
        <v>0</v>
      </c>
      <c r="X105" s="236">
        <v>0</v>
      </c>
      <c r="Y105" s="237">
        <v>6573</v>
      </c>
      <c r="Z105" s="236">
        <v>0</v>
      </c>
      <c r="AA105" s="236">
        <v>0</v>
      </c>
      <c r="AB105" s="236">
        <v>0</v>
      </c>
      <c r="AC105" s="236" t="s">
        <v>145</v>
      </c>
      <c r="AD105" s="236">
        <v>0</v>
      </c>
      <c r="AE105" s="236" t="s">
        <v>182</v>
      </c>
      <c r="AF105" s="236">
        <v>1</v>
      </c>
      <c r="AG105" s="236">
        <v>0</v>
      </c>
      <c r="AH105" s="236"/>
      <c r="AI105" s="236">
        <v>0</v>
      </c>
      <c r="AJ105" s="236">
        <v>0</v>
      </c>
      <c r="AK105" s="236">
        <v>0</v>
      </c>
      <c r="AL105" s="236"/>
      <c r="AM105" s="236"/>
      <c r="AN105" s="236"/>
      <c r="AO105" s="236"/>
      <c r="AP105" s="236">
        <v>351803</v>
      </c>
      <c r="AQ105" s="236"/>
      <c r="AR105" s="236" t="s">
        <v>620</v>
      </c>
      <c r="AS105" s="236" t="s">
        <v>193</v>
      </c>
      <c r="AT105" s="236" t="s">
        <v>180</v>
      </c>
      <c r="AU105" s="236"/>
      <c r="AV105" s="236"/>
      <c r="AW105" s="236"/>
    </row>
    <row r="106" spans="1:49" ht="15" customHeight="1">
      <c r="A106" s="236" t="s">
        <v>169</v>
      </c>
      <c r="B106" s="236">
        <v>262</v>
      </c>
      <c r="C106" s="236" t="s">
        <v>621</v>
      </c>
      <c r="D106" s="236"/>
      <c r="E106" s="236" t="s">
        <v>622</v>
      </c>
      <c r="F106" s="276" t="s">
        <v>172</v>
      </c>
      <c r="G106" s="276" t="s">
        <v>173</v>
      </c>
      <c r="H106" s="198" t="s">
        <v>174</v>
      </c>
      <c r="I106" s="236" t="s">
        <v>623</v>
      </c>
      <c r="J106" s="236" t="s">
        <v>624</v>
      </c>
      <c r="K106" s="211">
        <v>12809.59</v>
      </c>
      <c r="L106" s="277" t="s">
        <v>190</v>
      </c>
      <c r="M106" s="276">
        <v>2005</v>
      </c>
      <c r="N106" s="236">
        <v>2005</v>
      </c>
      <c r="O106" s="276" t="s">
        <v>193</v>
      </c>
      <c r="P106" s="276" t="s">
        <v>180</v>
      </c>
      <c r="Q106" s="236" t="s">
        <v>121</v>
      </c>
      <c r="R106" s="238" t="s">
        <v>181</v>
      </c>
      <c r="S106" s="236">
        <v>1</v>
      </c>
      <c r="T106" s="237">
        <v>12810</v>
      </c>
      <c r="U106" s="237">
        <v>12810</v>
      </c>
      <c r="V106" s="236"/>
      <c r="W106" s="236">
        <v>0</v>
      </c>
      <c r="X106" s="236">
        <v>0</v>
      </c>
      <c r="Y106" s="236">
        <v>0</v>
      </c>
      <c r="Z106" s="237">
        <v>12810</v>
      </c>
      <c r="AA106" s="236">
        <v>0</v>
      </c>
      <c r="AB106" s="236">
        <v>0</v>
      </c>
      <c r="AC106" s="236">
        <v>0</v>
      </c>
      <c r="AD106" s="236" t="s">
        <v>145</v>
      </c>
      <c r="AE106" s="236">
        <v>0</v>
      </c>
      <c r="AF106" s="236" t="s">
        <v>182</v>
      </c>
      <c r="AG106" s="236">
        <v>1</v>
      </c>
      <c r="AH106" s="236">
        <v>0</v>
      </c>
      <c r="AI106" s="236"/>
      <c r="AJ106" s="236">
        <v>0</v>
      </c>
      <c r="AK106" s="236">
        <v>0</v>
      </c>
      <c r="AL106" s="236">
        <v>0</v>
      </c>
      <c r="AM106" s="236"/>
      <c r="AN106" s="236"/>
      <c r="AO106" s="236"/>
      <c r="AP106" s="236"/>
      <c r="AQ106" s="236">
        <v>351804</v>
      </c>
      <c r="AR106" s="236" t="s">
        <v>625</v>
      </c>
      <c r="AS106" s="236" t="s">
        <v>626</v>
      </c>
      <c r="AT106" s="236" t="s">
        <v>180</v>
      </c>
      <c r="AU106" s="236"/>
      <c r="AV106" s="236"/>
      <c r="AW106" s="236"/>
    </row>
    <row r="107" spans="1:49" s="240" customFormat="1" ht="15" customHeight="1">
      <c r="A107" s="276" t="s">
        <v>169</v>
      </c>
      <c r="B107" s="236">
        <v>791</v>
      </c>
      <c r="C107" s="236" t="s">
        <v>627</v>
      </c>
      <c r="D107" s="276"/>
      <c r="E107" s="276" t="s">
        <v>628</v>
      </c>
      <c r="F107" s="276" t="s">
        <v>172</v>
      </c>
      <c r="G107" s="197" t="s">
        <v>220</v>
      </c>
      <c r="H107" s="198" t="s">
        <v>174</v>
      </c>
      <c r="I107" s="276" t="s">
        <v>629</v>
      </c>
      <c r="J107" s="236" t="s">
        <v>544</v>
      </c>
      <c r="K107" s="276">
        <v>6667</v>
      </c>
      <c r="L107" s="277" t="s">
        <v>190</v>
      </c>
      <c r="M107" s="276">
        <v>2005</v>
      </c>
      <c r="N107" s="236">
        <v>2005</v>
      </c>
      <c r="O107" s="236" t="s">
        <v>193</v>
      </c>
      <c r="P107" s="276" t="s">
        <v>180</v>
      </c>
      <c r="Q107" s="236" t="s">
        <v>121</v>
      </c>
      <c r="R107" s="238" t="s">
        <v>224</v>
      </c>
      <c r="S107" s="236">
        <v>1</v>
      </c>
      <c r="T107" s="237">
        <v>6666</v>
      </c>
      <c r="U107" s="237">
        <v>6653</v>
      </c>
      <c r="V107" s="236"/>
      <c r="W107" s="236">
        <v>0</v>
      </c>
      <c r="X107" s="236">
        <v>0</v>
      </c>
      <c r="Y107" s="236">
        <v>0</v>
      </c>
      <c r="Z107" s="237">
        <v>6653</v>
      </c>
      <c r="AA107" s="236">
        <v>0</v>
      </c>
      <c r="AB107" s="236">
        <v>0</v>
      </c>
      <c r="AC107" s="236">
        <v>14</v>
      </c>
      <c r="AD107" s="236" t="s">
        <v>145</v>
      </c>
      <c r="AE107" s="236">
        <v>2.0746480000000001E-3</v>
      </c>
      <c r="AF107" s="236" t="s">
        <v>182</v>
      </c>
      <c r="AG107" s="236">
        <v>1</v>
      </c>
      <c r="AH107" s="236">
        <v>0</v>
      </c>
      <c r="AI107" s="236"/>
      <c r="AJ107" s="236">
        <v>1</v>
      </c>
      <c r="AK107" s="236">
        <v>1</v>
      </c>
      <c r="AL107" s="236">
        <v>1</v>
      </c>
      <c r="AM107" s="236"/>
      <c r="AN107" s="236"/>
      <c r="AO107" s="236"/>
      <c r="AP107" s="236"/>
      <c r="AQ107" s="236">
        <v>351875</v>
      </c>
      <c r="AR107" s="276" t="s">
        <v>630</v>
      </c>
      <c r="AS107" s="276"/>
      <c r="AT107" s="276" t="s">
        <v>180</v>
      </c>
      <c r="AU107" s="250" t="s">
        <v>631</v>
      </c>
      <c r="AV107" s="276"/>
      <c r="AW107" s="236"/>
    </row>
    <row r="108" spans="1:49" ht="15" customHeight="1">
      <c r="A108" s="276" t="s">
        <v>235</v>
      </c>
      <c r="B108" s="276"/>
      <c r="C108" s="276"/>
      <c r="D108" s="276"/>
      <c r="E108" s="276" t="s">
        <v>632</v>
      </c>
      <c r="F108" s="277" t="s">
        <v>257</v>
      </c>
      <c r="G108" s="276" t="s">
        <v>116</v>
      </c>
      <c r="H108" s="198" t="s">
        <v>258</v>
      </c>
      <c r="I108" s="276" t="s">
        <v>578</v>
      </c>
      <c r="J108" s="276" t="s">
        <v>604</v>
      </c>
      <c r="K108" s="276" t="s">
        <v>368</v>
      </c>
      <c r="L108" s="277" t="s">
        <v>190</v>
      </c>
      <c r="M108" s="276">
        <v>2024</v>
      </c>
      <c r="N108" s="276"/>
      <c r="O108" s="276"/>
      <c r="P108" s="276"/>
      <c r="Q108" s="276"/>
      <c r="R108" s="277"/>
      <c r="S108" s="276"/>
      <c r="T108" s="276"/>
      <c r="U108" s="276"/>
      <c r="V108" s="276"/>
      <c r="W108" s="276"/>
      <c r="X108" s="276"/>
      <c r="Y108" s="276"/>
      <c r="Z108" s="276"/>
      <c r="AA108" s="276"/>
      <c r="AB108" s="276"/>
      <c r="AC108" s="276"/>
      <c r="AD108" s="276"/>
      <c r="AE108" s="276"/>
      <c r="AF108" s="276"/>
      <c r="AG108" s="276"/>
      <c r="AH108" s="276"/>
      <c r="AI108" s="276"/>
      <c r="AJ108" s="276"/>
      <c r="AK108" s="276"/>
      <c r="AL108" s="276"/>
      <c r="AM108" s="276"/>
      <c r="AN108" s="276"/>
      <c r="AO108" s="276"/>
      <c r="AP108" s="276"/>
      <c r="AQ108" s="276"/>
      <c r="AR108" s="276" t="s">
        <v>235</v>
      </c>
      <c r="AS108" s="276"/>
      <c r="AT108" s="276"/>
      <c r="AU108" s="276"/>
      <c r="AV108" s="276"/>
      <c r="AW108" s="236"/>
    </row>
    <row r="109" spans="1:49" s="240" customFormat="1" ht="15" customHeight="1">
      <c r="A109" s="276" t="s">
        <v>235</v>
      </c>
      <c r="B109" s="276"/>
      <c r="C109" s="276"/>
      <c r="D109" s="276"/>
      <c r="E109" s="277" t="s">
        <v>633</v>
      </c>
      <c r="F109" s="276" t="s">
        <v>237</v>
      </c>
      <c r="G109" s="197" t="s">
        <v>220</v>
      </c>
      <c r="H109" s="276"/>
      <c r="I109" s="277" t="s">
        <v>634</v>
      </c>
      <c r="J109" s="197" t="s">
        <v>635</v>
      </c>
      <c r="K109" s="277">
        <v>171635.1</v>
      </c>
      <c r="L109" s="277" t="s">
        <v>190</v>
      </c>
      <c r="M109" s="277">
        <v>2022</v>
      </c>
      <c r="N109" s="277"/>
      <c r="O109" s="277"/>
      <c r="P109" s="277"/>
      <c r="Q109" s="277"/>
      <c r="R109" s="277"/>
      <c r="S109" s="276"/>
      <c r="T109" s="276"/>
      <c r="U109" s="276"/>
      <c r="V109" s="277"/>
      <c r="W109" s="277"/>
      <c r="X109" s="277"/>
      <c r="Y109" s="277"/>
      <c r="Z109" s="277"/>
      <c r="AA109" s="277"/>
      <c r="AB109" s="277"/>
      <c r="AC109" s="277"/>
      <c r="AD109" s="277"/>
      <c r="AE109" s="277"/>
      <c r="AF109" s="277"/>
      <c r="AG109" s="277"/>
      <c r="AH109" s="277"/>
      <c r="AI109" s="277"/>
      <c r="AJ109" s="277"/>
      <c r="AK109" s="277"/>
      <c r="AL109" s="277"/>
      <c r="AM109" s="277"/>
      <c r="AN109" s="277"/>
      <c r="AO109" s="277"/>
      <c r="AP109" s="277"/>
      <c r="AQ109" s="277"/>
      <c r="AR109" s="277"/>
      <c r="AS109" s="276"/>
      <c r="AT109" s="277"/>
      <c r="AU109" s="277"/>
      <c r="AV109" s="276"/>
      <c r="AW109" s="236"/>
    </row>
    <row r="110" spans="1:49" s="240" customFormat="1" ht="15" customHeight="1">
      <c r="A110" s="276" t="s">
        <v>169</v>
      </c>
      <c r="B110" s="236">
        <v>1866</v>
      </c>
      <c r="C110" s="236" t="s">
        <v>636</v>
      </c>
      <c r="D110" s="276"/>
      <c r="E110" s="276" t="s">
        <v>637</v>
      </c>
      <c r="F110" s="276" t="s">
        <v>172</v>
      </c>
      <c r="G110" s="276" t="s">
        <v>116</v>
      </c>
      <c r="H110" s="236" t="s">
        <v>174</v>
      </c>
      <c r="I110" s="276" t="s">
        <v>638</v>
      </c>
      <c r="J110" s="236" t="s">
        <v>354</v>
      </c>
      <c r="K110" s="276">
        <v>11.52</v>
      </c>
      <c r="L110" s="277" t="s">
        <v>190</v>
      </c>
      <c r="M110" s="276">
        <v>2006</v>
      </c>
      <c r="N110" s="276">
        <v>2012</v>
      </c>
      <c r="O110" s="236" t="s">
        <v>639</v>
      </c>
      <c r="P110" s="276" t="s">
        <v>640</v>
      </c>
      <c r="Q110" s="276" t="s">
        <v>121</v>
      </c>
      <c r="R110" s="277" t="s">
        <v>356</v>
      </c>
      <c r="S110" s="236">
        <v>1</v>
      </c>
      <c r="T110" s="236">
        <v>10</v>
      </c>
      <c r="U110" s="236">
        <v>10</v>
      </c>
      <c r="V110" s="236"/>
      <c r="W110" s="236">
        <v>0</v>
      </c>
      <c r="X110" s="236">
        <v>0</v>
      </c>
      <c r="Y110" s="236">
        <v>0</v>
      </c>
      <c r="Z110" s="236">
        <v>10</v>
      </c>
      <c r="AA110" s="236">
        <v>0</v>
      </c>
      <c r="AB110" s="236">
        <v>0</v>
      </c>
      <c r="AC110" s="236">
        <v>0</v>
      </c>
      <c r="AD110" s="236" t="s">
        <v>145</v>
      </c>
      <c r="AE110" s="236">
        <v>0</v>
      </c>
      <c r="AF110" s="236" t="s">
        <v>182</v>
      </c>
      <c r="AG110" s="236">
        <v>1</v>
      </c>
      <c r="AH110" s="236">
        <v>0</v>
      </c>
      <c r="AI110" s="236"/>
      <c r="AJ110" s="236">
        <v>0</v>
      </c>
      <c r="AK110" s="236">
        <v>1</v>
      </c>
      <c r="AL110" s="236">
        <v>1</v>
      </c>
      <c r="AM110" s="236"/>
      <c r="AN110" s="236"/>
      <c r="AO110" s="236"/>
      <c r="AP110" s="236"/>
      <c r="AQ110" s="236">
        <v>555576425</v>
      </c>
      <c r="AR110" s="276"/>
      <c r="AS110" s="276"/>
      <c r="AT110" s="276" t="s">
        <v>180</v>
      </c>
      <c r="AU110" s="250" t="s">
        <v>641</v>
      </c>
      <c r="AV110" s="276"/>
      <c r="AW110" s="236"/>
    </row>
    <row r="111" spans="1:49" s="240" customFormat="1" ht="31.5" customHeight="1">
      <c r="A111" s="276" t="s">
        <v>169</v>
      </c>
      <c r="B111" s="236">
        <v>4195</v>
      </c>
      <c r="C111" s="236" t="s">
        <v>642</v>
      </c>
      <c r="D111" s="276"/>
      <c r="E111" s="276" t="s">
        <v>643</v>
      </c>
      <c r="F111" s="276" t="s">
        <v>172</v>
      </c>
      <c r="G111" s="276" t="s">
        <v>116</v>
      </c>
      <c r="H111" s="236" t="s">
        <v>174</v>
      </c>
      <c r="I111" s="276" t="s">
        <v>644</v>
      </c>
      <c r="J111" s="236" t="s">
        <v>645</v>
      </c>
      <c r="K111" s="236">
        <v>104698.2</v>
      </c>
      <c r="L111" s="277" t="s">
        <v>190</v>
      </c>
      <c r="M111" s="276">
        <v>2006</v>
      </c>
      <c r="N111" s="276">
        <v>2006</v>
      </c>
      <c r="O111" s="236" t="s">
        <v>193</v>
      </c>
      <c r="P111" s="276" t="s">
        <v>319</v>
      </c>
      <c r="Q111" s="276" t="s">
        <v>199</v>
      </c>
      <c r="R111" s="277" t="s">
        <v>646</v>
      </c>
      <c r="S111" s="236">
        <v>1</v>
      </c>
      <c r="T111" s="236">
        <v>110</v>
      </c>
      <c r="U111" s="236">
        <v>110</v>
      </c>
      <c r="V111" s="236"/>
      <c r="W111" s="236">
        <v>0</v>
      </c>
      <c r="X111" s="236">
        <v>0</v>
      </c>
      <c r="Y111" s="236">
        <v>0</v>
      </c>
      <c r="Z111" s="236">
        <v>110</v>
      </c>
      <c r="AA111" s="236">
        <v>0</v>
      </c>
      <c r="AB111" s="236">
        <v>0</v>
      </c>
      <c r="AC111" s="236">
        <v>0</v>
      </c>
      <c r="AD111" s="236" t="s">
        <v>145</v>
      </c>
      <c r="AE111" s="236">
        <v>0</v>
      </c>
      <c r="AF111" s="236" t="s">
        <v>182</v>
      </c>
      <c r="AG111" s="236">
        <v>1</v>
      </c>
      <c r="AH111" s="236">
        <v>0</v>
      </c>
      <c r="AI111" s="236"/>
      <c r="AJ111" s="236">
        <v>0</v>
      </c>
      <c r="AK111" s="236">
        <v>1</v>
      </c>
      <c r="AL111" s="236">
        <v>1</v>
      </c>
      <c r="AM111" s="236"/>
      <c r="AN111" s="236"/>
      <c r="AO111" s="236"/>
      <c r="AP111" s="236"/>
      <c r="AQ111" s="236" t="s">
        <v>193</v>
      </c>
      <c r="AR111" s="276"/>
      <c r="AS111" s="276"/>
      <c r="AT111" s="276"/>
      <c r="AU111" s="276" t="s">
        <v>647</v>
      </c>
      <c r="AV111" s="276"/>
      <c r="AW111" s="236"/>
    </row>
    <row r="112" spans="1:49" s="240" customFormat="1" ht="15" customHeight="1">
      <c r="A112" s="276" t="s">
        <v>235</v>
      </c>
      <c r="B112" s="276"/>
      <c r="C112" s="276"/>
      <c r="D112" s="276"/>
      <c r="E112" s="197" t="s">
        <v>648</v>
      </c>
      <c r="F112" s="276" t="s">
        <v>229</v>
      </c>
      <c r="G112" s="276" t="s">
        <v>116</v>
      </c>
      <c r="H112" s="236" t="s">
        <v>270</v>
      </c>
      <c r="I112" s="197" t="s">
        <v>649</v>
      </c>
      <c r="J112" s="276" t="s">
        <v>650</v>
      </c>
      <c r="K112" s="276">
        <v>12</v>
      </c>
      <c r="L112" s="277" t="s">
        <v>190</v>
      </c>
      <c r="M112" s="197" t="s">
        <v>368</v>
      </c>
      <c r="N112" s="197"/>
      <c r="O112" s="197"/>
      <c r="P112" s="276"/>
      <c r="Q112" s="276"/>
      <c r="R112" s="277"/>
      <c r="S112" s="276"/>
      <c r="T112" s="276"/>
      <c r="U112" s="276"/>
      <c r="V112" s="276"/>
      <c r="W112" s="276"/>
      <c r="X112" s="276"/>
      <c r="Y112" s="276"/>
      <c r="Z112" s="276"/>
      <c r="AA112" s="276"/>
      <c r="AB112" s="276"/>
      <c r="AC112" s="276"/>
      <c r="AD112" s="276"/>
      <c r="AE112" s="276"/>
      <c r="AF112" s="276"/>
      <c r="AG112" s="276"/>
      <c r="AH112" s="276"/>
      <c r="AI112" s="276"/>
      <c r="AJ112" s="276"/>
      <c r="AK112" s="276"/>
      <c r="AL112" s="276"/>
      <c r="AM112" s="276"/>
      <c r="AN112" s="276"/>
      <c r="AO112" s="276"/>
      <c r="AP112" s="276"/>
      <c r="AQ112" s="276"/>
      <c r="AR112" s="276"/>
      <c r="AS112" s="276"/>
      <c r="AT112" s="276"/>
      <c r="AU112" s="197"/>
      <c r="AV112" s="251" t="s">
        <v>651</v>
      </c>
      <c r="AW112" s="236"/>
    </row>
    <row r="113" spans="1:49" s="240" customFormat="1" ht="15" customHeight="1">
      <c r="A113" s="276" t="s">
        <v>169</v>
      </c>
      <c r="B113" s="236">
        <v>1844</v>
      </c>
      <c r="C113" s="236" t="s">
        <v>652</v>
      </c>
      <c r="D113" s="276"/>
      <c r="E113" s="276" t="s">
        <v>653</v>
      </c>
      <c r="F113" s="276" t="s">
        <v>172</v>
      </c>
      <c r="G113" s="197" t="s">
        <v>220</v>
      </c>
      <c r="H113" s="198" t="s">
        <v>174</v>
      </c>
      <c r="I113" s="276" t="s">
        <v>654</v>
      </c>
      <c r="J113" s="236" t="s">
        <v>266</v>
      </c>
      <c r="K113" s="276">
        <v>1532</v>
      </c>
      <c r="L113" s="277" t="s">
        <v>190</v>
      </c>
      <c r="M113" s="276">
        <v>2007</v>
      </c>
      <c r="N113" s="236">
        <v>2007</v>
      </c>
      <c r="O113" s="236" t="s">
        <v>193</v>
      </c>
      <c r="P113" s="276" t="s">
        <v>193</v>
      </c>
      <c r="Q113" s="236" t="s">
        <v>121</v>
      </c>
      <c r="R113" s="238" t="s">
        <v>224</v>
      </c>
      <c r="S113" s="236">
        <v>1</v>
      </c>
      <c r="T113" s="237">
        <v>1540</v>
      </c>
      <c r="U113" s="237">
        <v>1501</v>
      </c>
      <c r="V113" s="236"/>
      <c r="W113" s="236">
        <v>0</v>
      </c>
      <c r="X113" s="236">
        <v>0</v>
      </c>
      <c r="Y113" s="236">
        <v>0</v>
      </c>
      <c r="Z113" s="237">
        <v>1501</v>
      </c>
      <c r="AA113" s="236">
        <v>0</v>
      </c>
      <c r="AB113" s="236">
        <v>0</v>
      </c>
      <c r="AC113" s="236">
        <v>39</v>
      </c>
      <c r="AD113" s="236" t="s">
        <v>145</v>
      </c>
      <c r="AE113" s="236">
        <v>2.5491920000000001E-2</v>
      </c>
      <c r="AF113" s="236" t="s">
        <v>182</v>
      </c>
      <c r="AG113" s="236">
        <v>1</v>
      </c>
      <c r="AH113" s="236">
        <v>0</v>
      </c>
      <c r="AI113" s="236"/>
      <c r="AJ113" s="236">
        <v>1</v>
      </c>
      <c r="AK113" s="236">
        <v>1</v>
      </c>
      <c r="AL113" s="236">
        <v>1</v>
      </c>
      <c r="AM113" s="236"/>
      <c r="AN113" s="236"/>
      <c r="AO113" s="236"/>
      <c r="AP113" s="236"/>
      <c r="AQ113" s="236">
        <v>555576324</v>
      </c>
      <c r="AR113" s="276" t="s">
        <v>193</v>
      </c>
      <c r="AS113" s="276"/>
      <c r="AT113" s="276" t="s">
        <v>180</v>
      </c>
      <c r="AU113" s="250" t="s">
        <v>655</v>
      </c>
      <c r="AV113" s="276"/>
      <c r="AW113" s="236"/>
    </row>
    <row r="114" spans="1:49" s="240" customFormat="1" ht="15" customHeight="1">
      <c r="A114" s="276" t="s">
        <v>169</v>
      </c>
      <c r="B114" s="236">
        <v>3688</v>
      </c>
      <c r="C114" s="236" t="s">
        <v>656</v>
      </c>
      <c r="D114" s="276"/>
      <c r="E114" s="276" t="s">
        <v>657</v>
      </c>
      <c r="F114" s="276" t="s">
        <v>172</v>
      </c>
      <c r="G114" s="276" t="s">
        <v>116</v>
      </c>
      <c r="H114" s="236" t="s">
        <v>174</v>
      </c>
      <c r="I114" s="276" t="s">
        <v>658</v>
      </c>
      <c r="J114" s="236" t="s">
        <v>659</v>
      </c>
      <c r="K114" s="276">
        <v>428.53</v>
      </c>
      <c r="L114" s="277" t="s">
        <v>190</v>
      </c>
      <c r="M114" s="276">
        <v>2007</v>
      </c>
      <c r="N114" s="276">
        <v>2025</v>
      </c>
      <c r="O114" s="276" t="s">
        <v>660</v>
      </c>
      <c r="P114" s="276" t="s">
        <v>180</v>
      </c>
      <c r="Q114" s="236" t="s">
        <v>121</v>
      </c>
      <c r="R114" s="277" t="s">
        <v>661</v>
      </c>
      <c r="S114" s="236">
        <v>0</v>
      </c>
      <c r="T114" s="236">
        <v>429</v>
      </c>
      <c r="U114" s="236">
        <v>429</v>
      </c>
      <c r="V114" s="236"/>
      <c r="W114" s="236">
        <v>0</v>
      </c>
      <c r="X114" s="236">
        <v>0</v>
      </c>
      <c r="Y114" s="236">
        <v>0</v>
      </c>
      <c r="Z114" s="236">
        <v>429</v>
      </c>
      <c r="AA114" s="236">
        <v>0</v>
      </c>
      <c r="AB114" s="236">
        <v>0</v>
      </c>
      <c r="AC114" s="236">
        <v>0</v>
      </c>
      <c r="AD114" s="236" t="s">
        <v>145</v>
      </c>
      <c r="AE114" s="236">
        <v>0</v>
      </c>
      <c r="AF114" s="236" t="s">
        <v>182</v>
      </c>
      <c r="AG114" s="236">
        <v>1</v>
      </c>
      <c r="AH114" s="236">
        <v>0</v>
      </c>
      <c r="AI114" s="236"/>
      <c r="AJ114" s="236">
        <v>0</v>
      </c>
      <c r="AK114" s="236">
        <v>1</v>
      </c>
      <c r="AL114" s="236">
        <v>1</v>
      </c>
      <c r="AM114" s="236"/>
      <c r="AN114" s="236"/>
      <c r="AO114" s="236"/>
      <c r="AP114" s="236"/>
      <c r="AQ114" s="236">
        <v>555682373</v>
      </c>
      <c r="AR114" s="276"/>
      <c r="AS114" s="276"/>
      <c r="AT114" s="276" t="s">
        <v>180</v>
      </c>
      <c r="AU114" s="250" t="s">
        <v>662</v>
      </c>
      <c r="AV114" s="276"/>
      <c r="AW114" s="236"/>
    </row>
    <row r="115" spans="1:49" s="240" customFormat="1" ht="15" customHeight="1">
      <c r="A115" s="276" t="s">
        <v>169</v>
      </c>
      <c r="B115" s="236">
        <v>1906</v>
      </c>
      <c r="C115" s="236" t="s">
        <v>663</v>
      </c>
      <c r="D115" s="276"/>
      <c r="E115" s="276" t="s">
        <v>664</v>
      </c>
      <c r="F115" s="276" t="s">
        <v>172</v>
      </c>
      <c r="G115" s="276" t="s">
        <v>116</v>
      </c>
      <c r="H115" s="236" t="s">
        <v>174</v>
      </c>
      <c r="I115" s="276" t="s">
        <v>665</v>
      </c>
      <c r="J115" s="236" t="s">
        <v>354</v>
      </c>
      <c r="K115" s="276">
        <v>19.507999999999999</v>
      </c>
      <c r="L115" s="277" t="s">
        <v>190</v>
      </c>
      <c r="M115" s="276">
        <v>2007</v>
      </c>
      <c r="N115" s="276">
        <v>2007</v>
      </c>
      <c r="O115" s="236" t="s">
        <v>193</v>
      </c>
      <c r="P115" s="276" t="s">
        <v>180</v>
      </c>
      <c r="Q115" s="276" t="s">
        <v>121</v>
      </c>
      <c r="R115" s="277" t="s">
        <v>356</v>
      </c>
      <c r="S115" s="236">
        <v>0</v>
      </c>
      <c r="T115" s="236">
        <v>20</v>
      </c>
      <c r="U115" s="236">
        <v>20</v>
      </c>
      <c r="V115" s="236"/>
      <c r="W115" s="236">
        <v>0</v>
      </c>
      <c r="X115" s="236">
        <v>0</v>
      </c>
      <c r="Y115" s="236">
        <v>0</v>
      </c>
      <c r="Z115" s="236">
        <v>20</v>
      </c>
      <c r="AA115" s="236">
        <v>0</v>
      </c>
      <c r="AB115" s="236">
        <v>0</v>
      </c>
      <c r="AC115" s="236">
        <v>0</v>
      </c>
      <c r="AD115" s="236" t="s">
        <v>145</v>
      </c>
      <c r="AE115" s="236">
        <v>0</v>
      </c>
      <c r="AF115" s="236" t="s">
        <v>182</v>
      </c>
      <c r="AG115" s="236">
        <v>1</v>
      </c>
      <c r="AH115" s="236">
        <v>0</v>
      </c>
      <c r="AI115" s="236"/>
      <c r="AJ115" s="236">
        <v>0</v>
      </c>
      <c r="AK115" s="236">
        <v>1</v>
      </c>
      <c r="AL115" s="236">
        <v>1</v>
      </c>
      <c r="AM115" s="236"/>
      <c r="AN115" s="236"/>
      <c r="AO115" s="236"/>
      <c r="AP115" s="236"/>
      <c r="AQ115" s="236">
        <v>555682360</v>
      </c>
      <c r="AR115" s="276"/>
      <c r="AS115" s="276"/>
      <c r="AT115" s="276" t="s">
        <v>180</v>
      </c>
      <c r="AU115" s="250" t="s">
        <v>666</v>
      </c>
      <c r="AV115" s="276"/>
      <c r="AW115" s="236"/>
    </row>
    <row r="116" spans="1:49" ht="15" customHeight="1">
      <c r="A116" s="276" t="s">
        <v>235</v>
      </c>
      <c r="B116" s="276"/>
      <c r="C116" s="276"/>
      <c r="D116" s="276"/>
      <c r="E116" s="197" t="s">
        <v>667</v>
      </c>
      <c r="F116" s="276" t="s">
        <v>172</v>
      </c>
      <c r="G116" s="276" t="s">
        <v>116</v>
      </c>
      <c r="H116" s="236" t="s">
        <v>270</v>
      </c>
      <c r="I116" s="204" t="s">
        <v>668</v>
      </c>
      <c r="J116" s="197" t="s">
        <v>266</v>
      </c>
      <c r="K116" s="197"/>
      <c r="L116" s="277" t="s">
        <v>190</v>
      </c>
      <c r="M116" s="197"/>
      <c r="N116" s="197"/>
      <c r="O116" s="197"/>
      <c r="P116" s="276"/>
      <c r="Q116" s="276"/>
      <c r="R116" s="277"/>
      <c r="S116" s="276"/>
      <c r="T116" s="276"/>
      <c r="U116" s="276"/>
      <c r="V116" s="197"/>
      <c r="W116" s="197">
        <v>0</v>
      </c>
      <c r="X116" s="197">
        <v>0</v>
      </c>
      <c r="Y116" s="197">
        <v>0</v>
      </c>
      <c r="Z116" s="197"/>
      <c r="AA116" s="197">
        <v>0</v>
      </c>
      <c r="AB116" s="197">
        <v>0</v>
      </c>
      <c r="AC116" s="197"/>
      <c r="AD116" s="197"/>
      <c r="AE116" s="197"/>
      <c r="AF116" s="197"/>
      <c r="AG116" s="197"/>
      <c r="AH116" s="197"/>
      <c r="AI116" s="197"/>
      <c r="AJ116" s="197"/>
      <c r="AK116" s="197"/>
      <c r="AL116" s="197"/>
      <c r="AM116" s="197"/>
      <c r="AN116" s="197"/>
      <c r="AO116" s="197"/>
      <c r="AP116" s="197"/>
      <c r="AQ116" s="197"/>
      <c r="AR116" s="276"/>
      <c r="AS116" s="276"/>
      <c r="AT116" s="276"/>
      <c r="AU116" s="197"/>
      <c r="AV116" s="276"/>
      <c r="AW116" s="236"/>
    </row>
    <row r="117" spans="1:49">
      <c r="A117" s="276" t="s">
        <v>169</v>
      </c>
      <c r="B117" s="198">
        <v>4940</v>
      </c>
      <c r="C117" s="213">
        <v>3500424940</v>
      </c>
      <c r="D117" s="276"/>
      <c r="E117" s="276" t="s">
        <v>669</v>
      </c>
      <c r="F117" s="277" t="s">
        <v>257</v>
      </c>
      <c r="G117" s="276" t="s">
        <v>116</v>
      </c>
      <c r="H117" s="198" t="s">
        <v>258</v>
      </c>
      <c r="I117" s="276" t="s">
        <v>670</v>
      </c>
      <c r="J117" s="198" t="s">
        <v>548</v>
      </c>
      <c r="K117" s="198">
        <v>140.69999999999999</v>
      </c>
      <c r="L117" s="277" t="s">
        <v>190</v>
      </c>
      <c r="M117" s="276">
        <v>2008</v>
      </c>
      <c r="N117" s="198">
        <v>2008</v>
      </c>
      <c r="O117" s="198" t="s">
        <v>193</v>
      </c>
      <c r="P117" s="198" t="s">
        <v>121</v>
      </c>
      <c r="Q117" s="198" t="s">
        <v>121</v>
      </c>
      <c r="R117" s="198" t="s">
        <v>671</v>
      </c>
      <c r="S117" s="198">
        <v>1</v>
      </c>
      <c r="T117" s="198">
        <v>141</v>
      </c>
      <c r="U117" s="198">
        <v>132</v>
      </c>
      <c r="V117" s="198"/>
      <c r="W117" s="198">
        <v>0</v>
      </c>
      <c r="X117" s="198">
        <v>0</v>
      </c>
      <c r="Y117" s="198">
        <v>0</v>
      </c>
      <c r="Z117" s="198">
        <v>132</v>
      </c>
      <c r="AA117" s="198">
        <v>0</v>
      </c>
      <c r="AB117" s="198">
        <v>0</v>
      </c>
      <c r="AC117" s="198">
        <v>8</v>
      </c>
      <c r="AD117" s="198" t="s">
        <v>145</v>
      </c>
      <c r="AE117" s="198">
        <v>5.8168102999999999E-2</v>
      </c>
      <c r="AF117" s="198" t="s">
        <v>208</v>
      </c>
      <c r="AG117" s="198">
        <v>0</v>
      </c>
      <c r="AH117" s="198">
        <v>1</v>
      </c>
      <c r="AI117" s="198"/>
      <c r="AJ117" s="198">
        <v>1</v>
      </c>
      <c r="AK117" s="198">
        <v>1</v>
      </c>
      <c r="AL117" s="198">
        <v>1</v>
      </c>
      <c r="AM117" s="198"/>
      <c r="AN117" s="198"/>
      <c r="AO117" s="198"/>
      <c r="AP117" s="198"/>
      <c r="AQ117" s="198" t="s">
        <v>193</v>
      </c>
      <c r="AR117" s="276"/>
      <c r="AS117" s="276"/>
      <c r="AT117" s="276" t="s">
        <v>180</v>
      </c>
      <c r="AU117" s="250" t="s">
        <v>672</v>
      </c>
      <c r="AV117" s="276"/>
      <c r="AW117" s="236"/>
    </row>
    <row r="118" spans="1:49" ht="30.75">
      <c r="A118" s="236" t="s">
        <v>169</v>
      </c>
      <c r="B118" s="236">
        <v>2091</v>
      </c>
      <c r="C118" s="236" t="s">
        <v>673</v>
      </c>
      <c r="D118" s="236"/>
      <c r="E118" s="236" t="s">
        <v>674</v>
      </c>
      <c r="F118" s="276" t="s">
        <v>54</v>
      </c>
      <c r="G118" s="276" t="s">
        <v>173</v>
      </c>
      <c r="H118" s="236" t="s">
        <v>270</v>
      </c>
      <c r="I118" s="199" t="s">
        <v>675</v>
      </c>
      <c r="J118" s="236" t="s">
        <v>676</v>
      </c>
      <c r="K118" s="236">
        <v>59.46</v>
      </c>
      <c r="L118" s="277" t="s">
        <v>190</v>
      </c>
      <c r="M118" s="276">
        <v>2008</v>
      </c>
      <c r="N118" s="276">
        <v>2008</v>
      </c>
      <c r="O118" s="236" t="s">
        <v>193</v>
      </c>
      <c r="P118" s="236" t="s">
        <v>199</v>
      </c>
      <c r="Q118" s="236" t="s">
        <v>199</v>
      </c>
      <c r="R118" s="238" t="s">
        <v>181</v>
      </c>
      <c r="S118" s="236">
        <v>1</v>
      </c>
      <c r="T118" s="236">
        <v>59</v>
      </c>
      <c r="U118" s="236">
        <v>59</v>
      </c>
      <c r="V118" s="236"/>
      <c r="W118" s="236">
        <v>0</v>
      </c>
      <c r="X118" s="236">
        <v>0</v>
      </c>
      <c r="Y118" s="236">
        <v>0</v>
      </c>
      <c r="Z118" s="236">
        <v>59</v>
      </c>
      <c r="AA118" s="236">
        <v>0</v>
      </c>
      <c r="AB118" s="236">
        <v>0</v>
      </c>
      <c r="AC118" s="236">
        <v>0</v>
      </c>
      <c r="AD118" s="236" t="s">
        <v>145</v>
      </c>
      <c r="AE118" s="236">
        <v>0</v>
      </c>
      <c r="AF118" s="236" t="s">
        <v>208</v>
      </c>
      <c r="AG118" s="236">
        <v>0</v>
      </c>
      <c r="AH118" s="236">
        <v>1</v>
      </c>
      <c r="AI118" s="236"/>
      <c r="AJ118" s="236">
        <v>0</v>
      </c>
      <c r="AK118" s="236">
        <v>0</v>
      </c>
      <c r="AL118" s="236">
        <v>0</v>
      </c>
      <c r="AM118" s="236"/>
      <c r="AN118" s="236"/>
      <c r="AO118" s="236"/>
      <c r="AP118" s="236"/>
      <c r="AQ118" s="236">
        <v>555600013</v>
      </c>
      <c r="AR118" s="236" t="s">
        <v>193</v>
      </c>
      <c r="AS118" s="236" t="s">
        <v>193</v>
      </c>
      <c r="AT118" s="236" t="s">
        <v>180</v>
      </c>
      <c r="AU118" s="199"/>
      <c r="AV118" s="236"/>
      <c r="AW118" s="236"/>
    </row>
    <row r="119" spans="1:49" ht="30.75">
      <c r="A119" s="236" t="s">
        <v>169</v>
      </c>
      <c r="B119" s="236">
        <v>2099</v>
      </c>
      <c r="C119" s="236" t="s">
        <v>677</v>
      </c>
      <c r="D119" s="236"/>
      <c r="E119" s="236" t="s">
        <v>678</v>
      </c>
      <c r="F119" s="276" t="s">
        <v>54</v>
      </c>
      <c r="G119" s="276" t="s">
        <v>173</v>
      </c>
      <c r="H119" s="236" t="s">
        <v>270</v>
      </c>
      <c r="I119" s="199" t="s">
        <v>679</v>
      </c>
      <c r="J119" s="236" t="s">
        <v>680</v>
      </c>
      <c r="K119" s="236">
        <v>6328.6</v>
      </c>
      <c r="L119" s="277" t="s">
        <v>190</v>
      </c>
      <c r="M119" s="276">
        <v>2008</v>
      </c>
      <c r="N119" s="276">
        <v>2008</v>
      </c>
      <c r="O119" s="236" t="s">
        <v>193</v>
      </c>
      <c r="P119" s="236" t="s">
        <v>199</v>
      </c>
      <c r="Q119" s="236" t="s">
        <v>199</v>
      </c>
      <c r="R119" s="238" t="s">
        <v>181</v>
      </c>
      <c r="S119" s="236">
        <v>1</v>
      </c>
      <c r="T119" s="237">
        <v>6342</v>
      </c>
      <c r="U119" s="237">
        <v>6342</v>
      </c>
      <c r="V119" s="236"/>
      <c r="W119" s="236">
        <v>0</v>
      </c>
      <c r="X119" s="236">
        <v>0</v>
      </c>
      <c r="Y119" s="236">
        <v>0</v>
      </c>
      <c r="Z119" s="237">
        <v>6342</v>
      </c>
      <c r="AA119" s="236">
        <v>0</v>
      </c>
      <c r="AB119" s="236">
        <v>0</v>
      </c>
      <c r="AC119" s="236">
        <v>0</v>
      </c>
      <c r="AD119" s="236" t="s">
        <v>145</v>
      </c>
      <c r="AE119" s="236">
        <v>0</v>
      </c>
      <c r="AF119" s="236" t="s">
        <v>208</v>
      </c>
      <c r="AG119" s="236">
        <v>0</v>
      </c>
      <c r="AH119" s="236">
        <v>1</v>
      </c>
      <c r="AI119" s="236"/>
      <c r="AJ119" s="236">
        <v>0</v>
      </c>
      <c r="AK119" s="236">
        <v>0</v>
      </c>
      <c r="AL119" s="236">
        <v>0</v>
      </c>
      <c r="AM119" s="236"/>
      <c r="AN119" s="236"/>
      <c r="AO119" s="236"/>
      <c r="AP119" s="236"/>
      <c r="AQ119" s="236">
        <v>555600084</v>
      </c>
      <c r="AR119" s="236" t="s">
        <v>193</v>
      </c>
      <c r="AS119" s="236" t="s">
        <v>193</v>
      </c>
      <c r="AT119" s="236" t="s">
        <v>180</v>
      </c>
      <c r="AU119" s="199"/>
      <c r="AV119" s="236"/>
      <c r="AW119" s="236"/>
    </row>
    <row r="120" spans="1:49" ht="30.75">
      <c r="A120" s="236" t="s">
        <v>169</v>
      </c>
      <c r="B120" s="236">
        <v>2180</v>
      </c>
      <c r="C120" s="236" t="s">
        <v>681</v>
      </c>
      <c r="D120" s="236"/>
      <c r="E120" s="236" t="s">
        <v>682</v>
      </c>
      <c r="F120" s="276" t="s">
        <v>54</v>
      </c>
      <c r="G120" s="276" t="s">
        <v>173</v>
      </c>
      <c r="H120" s="236" t="s">
        <v>270</v>
      </c>
      <c r="I120" s="201" t="s">
        <v>683</v>
      </c>
      <c r="J120" s="236" t="s">
        <v>684</v>
      </c>
      <c r="K120" s="236">
        <v>126.5</v>
      </c>
      <c r="L120" s="277" t="s">
        <v>190</v>
      </c>
      <c r="M120" s="276">
        <v>2008</v>
      </c>
      <c r="N120" s="276">
        <v>2008</v>
      </c>
      <c r="O120" s="236" t="s">
        <v>193</v>
      </c>
      <c r="P120" s="236" t="s">
        <v>199</v>
      </c>
      <c r="Q120" s="236" t="s">
        <v>199</v>
      </c>
      <c r="R120" s="238" t="s">
        <v>181</v>
      </c>
      <c r="S120" s="236">
        <v>1</v>
      </c>
      <c r="T120" s="236">
        <v>154</v>
      </c>
      <c r="U120" s="236">
        <v>154</v>
      </c>
      <c r="V120" s="236"/>
      <c r="W120" s="236">
        <v>0</v>
      </c>
      <c r="X120" s="236">
        <v>0</v>
      </c>
      <c r="Y120" s="236">
        <v>0</v>
      </c>
      <c r="Z120" s="236">
        <v>154</v>
      </c>
      <c r="AA120" s="236">
        <v>0</v>
      </c>
      <c r="AB120" s="236">
        <v>0</v>
      </c>
      <c r="AC120" s="236">
        <v>0</v>
      </c>
      <c r="AD120" s="236" t="s">
        <v>145</v>
      </c>
      <c r="AE120" s="236">
        <v>0</v>
      </c>
      <c r="AF120" s="236" t="s">
        <v>208</v>
      </c>
      <c r="AG120" s="236">
        <v>0</v>
      </c>
      <c r="AH120" s="236">
        <v>1</v>
      </c>
      <c r="AI120" s="236"/>
      <c r="AJ120" s="236">
        <v>0</v>
      </c>
      <c r="AK120" s="236">
        <v>0</v>
      </c>
      <c r="AL120" s="236">
        <v>0</v>
      </c>
      <c r="AM120" s="236"/>
      <c r="AN120" s="236"/>
      <c r="AO120" s="236"/>
      <c r="AP120" s="236"/>
      <c r="AQ120" s="236">
        <v>555599986</v>
      </c>
      <c r="AR120" s="236" t="s">
        <v>193</v>
      </c>
      <c r="AS120" s="236" t="s">
        <v>193</v>
      </c>
      <c r="AT120" s="236" t="s">
        <v>180</v>
      </c>
      <c r="AU120" s="199"/>
      <c r="AV120" s="236"/>
      <c r="AW120" s="236"/>
    </row>
    <row r="121" spans="1:49" ht="30.75">
      <c r="A121" s="236" t="s">
        <v>169</v>
      </c>
      <c r="B121" s="236">
        <v>2210</v>
      </c>
      <c r="C121" s="236" t="s">
        <v>685</v>
      </c>
      <c r="D121" s="236"/>
      <c r="E121" s="236" t="s">
        <v>686</v>
      </c>
      <c r="F121" s="276" t="s">
        <v>54</v>
      </c>
      <c r="G121" s="276" t="s">
        <v>173</v>
      </c>
      <c r="H121" s="236" t="s">
        <v>270</v>
      </c>
      <c r="I121" s="199" t="s">
        <v>687</v>
      </c>
      <c r="J121" s="236" t="s">
        <v>688</v>
      </c>
      <c r="K121" s="236">
        <v>1.89</v>
      </c>
      <c r="L121" s="277" t="s">
        <v>190</v>
      </c>
      <c r="M121" s="276">
        <v>2008</v>
      </c>
      <c r="N121" s="276">
        <v>2008</v>
      </c>
      <c r="O121" s="236" t="s">
        <v>193</v>
      </c>
      <c r="P121" s="236" t="s">
        <v>199</v>
      </c>
      <c r="Q121" s="236" t="s">
        <v>199</v>
      </c>
      <c r="R121" s="238" t="s">
        <v>181</v>
      </c>
      <c r="S121" s="236">
        <v>1</v>
      </c>
      <c r="T121" s="236">
        <v>2</v>
      </c>
      <c r="U121" s="236">
        <v>2</v>
      </c>
      <c r="V121" s="236"/>
      <c r="W121" s="236">
        <v>0</v>
      </c>
      <c r="X121" s="236">
        <v>0</v>
      </c>
      <c r="Y121" s="236">
        <v>0</v>
      </c>
      <c r="Z121" s="236">
        <v>2</v>
      </c>
      <c r="AA121" s="236">
        <v>0</v>
      </c>
      <c r="AB121" s="236">
        <v>0</v>
      </c>
      <c r="AC121" s="236">
        <v>0</v>
      </c>
      <c r="AD121" s="236" t="s">
        <v>145</v>
      </c>
      <c r="AE121" s="236">
        <v>0</v>
      </c>
      <c r="AF121" s="236" t="s">
        <v>208</v>
      </c>
      <c r="AG121" s="236">
        <v>0</v>
      </c>
      <c r="AH121" s="236">
        <v>1</v>
      </c>
      <c r="AI121" s="236"/>
      <c r="AJ121" s="236">
        <v>0</v>
      </c>
      <c r="AK121" s="236">
        <v>0</v>
      </c>
      <c r="AL121" s="236">
        <v>0</v>
      </c>
      <c r="AM121" s="236"/>
      <c r="AN121" s="236"/>
      <c r="AO121" s="236"/>
      <c r="AP121" s="236"/>
      <c r="AQ121" s="236">
        <v>555599965</v>
      </c>
      <c r="AR121" s="236" t="s">
        <v>193</v>
      </c>
      <c r="AS121" s="236" t="s">
        <v>193</v>
      </c>
      <c r="AT121" s="236" t="s">
        <v>180</v>
      </c>
      <c r="AU121" s="199"/>
      <c r="AV121" s="236"/>
      <c r="AW121" s="236"/>
    </row>
    <row r="122" spans="1:49" s="240" customFormat="1" ht="30.75">
      <c r="A122" s="236" t="s">
        <v>169</v>
      </c>
      <c r="B122" s="236">
        <v>2211</v>
      </c>
      <c r="C122" s="236" t="s">
        <v>689</v>
      </c>
      <c r="D122" s="236"/>
      <c r="E122" s="236" t="s">
        <v>690</v>
      </c>
      <c r="F122" s="276" t="s">
        <v>54</v>
      </c>
      <c r="G122" s="276" t="s">
        <v>173</v>
      </c>
      <c r="H122" s="236" t="s">
        <v>270</v>
      </c>
      <c r="I122" s="199" t="s">
        <v>691</v>
      </c>
      <c r="J122" s="236" t="s">
        <v>688</v>
      </c>
      <c r="K122" s="236">
        <v>2.75</v>
      </c>
      <c r="L122" s="277" t="s">
        <v>190</v>
      </c>
      <c r="M122" s="276">
        <v>2008</v>
      </c>
      <c r="N122" s="276">
        <v>2008</v>
      </c>
      <c r="O122" s="236" t="s">
        <v>193</v>
      </c>
      <c r="P122" s="236" t="s">
        <v>199</v>
      </c>
      <c r="Q122" s="236" t="s">
        <v>199</v>
      </c>
      <c r="R122" s="238" t="s">
        <v>181</v>
      </c>
      <c r="S122" s="236">
        <v>1</v>
      </c>
      <c r="T122" s="236">
        <v>3</v>
      </c>
      <c r="U122" s="236">
        <v>3</v>
      </c>
      <c r="V122" s="236"/>
      <c r="W122" s="236">
        <v>0</v>
      </c>
      <c r="X122" s="236">
        <v>0</v>
      </c>
      <c r="Y122" s="236">
        <v>0</v>
      </c>
      <c r="Z122" s="236">
        <v>3</v>
      </c>
      <c r="AA122" s="236">
        <v>0</v>
      </c>
      <c r="AB122" s="236">
        <v>0</v>
      </c>
      <c r="AC122" s="236">
        <v>0</v>
      </c>
      <c r="AD122" s="236" t="s">
        <v>145</v>
      </c>
      <c r="AE122" s="236">
        <v>0</v>
      </c>
      <c r="AF122" s="236" t="s">
        <v>208</v>
      </c>
      <c r="AG122" s="236">
        <v>0</v>
      </c>
      <c r="AH122" s="236">
        <v>1</v>
      </c>
      <c r="AI122" s="236"/>
      <c r="AJ122" s="236">
        <v>0</v>
      </c>
      <c r="AK122" s="236">
        <v>0</v>
      </c>
      <c r="AL122" s="236">
        <v>0</v>
      </c>
      <c r="AM122" s="236"/>
      <c r="AN122" s="236"/>
      <c r="AO122" s="236"/>
      <c r="AP122" s="236"/>
      <c r="AQ122" s="236">
        <v>555600001</v>
      </c>
      <c r="AR122" s="236" t="s">
        <v>193</v>
      </c>
      <c r="AS122" s="236" t="s">
        <v>193</v>
      </c>
      <c r="AT122" s="236" t="s">
        <v>180</v>
      </c>
      <c r="AU122" s="199"/>
      <c r="AV122" s="236"/>
      <c r="AW122" s="236"/>
    </row>
    <row r="123" spans="1:49" s="240" customFormat="1" ht="30.75">
      <c r="A123" s="236" t="s">
        <v>169</v>
      </c>
      <c r="B123" s="236">
        <v>2229</v>
      </c>
      <c r="C123" s="236" t="s">
        <v>692</v>
      </c>
      <c r="D123" s="236"/>
      <c r="E123" s="236" t="s">
        <v>693</v>
      </c>
      <c r="F123" s="276" t="s">
        <v>54</v>
      </c>
      <c r="G123" s="276" t="s">
        <v>173</v>
      </c>
      <c r="H123" s="236" t="s">
        <v>270</v>
      </c>
      <c r="I123" s="199" t="s">
        <v>694</v>
      </c>
      <c r="J123" s="236" t="s">
        <v>553</v>
      </c>
      <c r="K123" s="236">
        <v>33.58</v>
      </c>
      <c r="L123" s="277" t="s">
        <v>190</v>
      </c>
      <c r="M123" s="276">
        <v>2008</v>
      </c>
      <c r="N123" s="276">
        <v>2008</v>
      </c>
      <c r="O123" s="236" t="s">
        <v>193</v>
      </c>
      <c r="P123" s="236" t="s">
        <v>199</v>
      </c>
      <c r="Q123" s="236" t="s">
        <v>199</v>
      </c>
      <c r="R123" s="238" t="s">
        <v>181</v>
      </c>
      <c r="S123" s="236">
        <v>1</v>
      </c>
      <c r="T123" s="236">
        <v>33</v>
      </c>
      <c r="U123" s="236">
        <v>33</v>
      </c>
      <c r="V123" s="236"/>
      <c r="W123" s="236">
        <v>0</v>
      </c>
      <c r="X123" s="236">
        <v>0</v>
      </c>
      <c r="Y123" s="236">
        <v>0</v>
      </c>
      <c r="Z123" s="236">
        <v>33</v>
      </c>
      <c r="AA123" s="236">
        <v>0</v>
      </c>
      <c r="AB123" s="236">
        <v>0</v>
      </c>
      <c r="AC123" s="236">
        <v>0</v>
      </c>
      <c r="AD123" s="236" t="s">
        <v>145</v>
      </c>
      <c r="AE123" s="236">
        <v>0</v>
      </c>
      <c r="AF123" s="236" t="s">
        <v>208</v>
      </c>
      <c r="AG123" s="236">
        <v>0</v>
      </c>
      <c r="AH123" s="236">
        <v>1</v>
      </c>
      <c r="AI123" s="236"/>
      <c r="AJ123" s="236">
        <v>0</v>
      </c>
      <c r="AK123" s="236">
        <v>0</v>
      </c>
      <c r="AL123" s="236">
        <v>0</v>
      </c>
      <c r="AM123" s="236"/>
      <c r="AN123" s="236"/>
      <c r="AO123" s="236"/>
      <c r="AP123" s="236"/>
      <c r="AQ123" s="236">
        <v>555600145</v>
      </c>
      <c r="AR123" s="236" t="s">
        <v>193</v>
      </c>
      <c r="AS123" s="236" t="s">
        <v>193</v>
      </c>
      <c r="AT123" s="236" t="s">
        <v>180</v>
      </c>
      <c r="AU123" s="199"/>
      <c r="AV123" s="236"/>
      <c r="AW123" s="236"/>
    </row>
    <row r="124" spans="1:49" s="240" customFormat="1" ht="30.75">
      <c r="A124" s="276" t="s">
        <v>169</v>
      </c>
      <c r="B124" s="236">
        <v>1913</v>
      </c>
      <c r="C124" s="236" t="s">
        <v>695</v>
      </c>
      <c r="D124" s="276"/>
      <c r="E124" s="276" t="s">
        <v>696</v>
      </c>
      <c r="F124" s="276" t="s">
        <v>172</v>
      </c>
      <c r="G124" s="276" t="s">
        <v>116</v>
      </c>
      <c r="H124" s="236" t="s">
        <v>174</v>
      </c>
      <c r="I124" s="276" t="s">
        <v>697</v>
      </c>
      <c r="J124" s="236" t="s">
        <v>698</v>
      </c>
      <c r="K124" s="276">
        <v>83.58</v>
      </c>
      <c r="L124" s="277" t="s">
        <v>190</v>
      </c>
      <c r="M124" s="276">
        <v>2008</v>
      </c>
      <c r="N124" s="276">
        <v>2008</v>
      </c>
      <c r="O124" s="236" t="s">
        <v>193</v>
      </c>
      <c r="P124" s="200" t="s">
        <v>180</v>
      </c>
      <c r="Q124" s="276" t="s">
        <v>199</v>
      </c>
      <c r="R124" s="277" t="s">
        <v>699</v>
      </c>
      <c r="S124" s="236">
        <v>0</v>
      </c>
      <c r="T124" s="236">
        <v>84</v>
      </c>
      <c r="U124" s="236">
        <v>84</v>
      </c>
      <c r="V124" s="236"/>
      <c r="W124" s="236">
        <v>0</v>
      </c>
      <c r="X124" s="236">
        <v>0</v>
      </c>
      <c r="Y124" s="236">
        <v>0</v>
      </c>
      <c r="Z124" s="236">
        <v>84</v>
      </c>
      <c r="AA124" s="236">
        <v>0</v>
      </c>
      <c r="AB124" s="236">
        <v>0</v>
      </c>
      <c r="AC124" s="236">
        <v>0</v>
      </c>
      <c r="AD124" s="236" t="s">
        <v>145</v>
      </c>
      <c r="AE124" s="236">
        <v>0</v>
      </c>
      <c r="AF124" s="236" t="s">
        <v>182</v>
      </c>
      <c r="AG124" s="236">
        <v>1</v>
      </c>
      <c r="AH124" s="236">
        <v>0</v>
      </c>
      <c r="AI124" s="236"/>
      <c r="AJ124" s="236">
        <v>0</v>
      </c>
      <c r="AK124" s="236">
        <v>0</v>
      </c>
      <c r="AL124" s="236">
        <v>0</v>
      </c>
      <c r="AM124" s="236"/>
      <c r="AN124" s="236"/>
      <c r="AO124" s="236"/>
      <c r="AP124" s="236"/>
      <c r="AQ124" s="236">
        <v>555682457</v>
      </c>
      <c r="AR124" s="276"/>
      <c r="AS124" s="276"/>
      <c r="AT124" s="276" t="s">
        <v>180</v>
      </c>
      <c r="AU124" s="250" t="s">
        <v>700</v>
      </c>
      <c r="AV124" s="276"/>
      <c r="AW124" s="236"/>
    </row>
    <row r="125" spans="1:49" s="240" customFormat="1">
      <c r="A125" s="276" t="s">
        <v>235</v>
      </c>
      <c r="B125" s="276"/>
      <c r="C125" s="276"/>
      <c r="D125" s="276"/>
      <c r="E125" s="276" t="s">
        <v>701</v>
      </c>
      <c r="F125" s="277" t="s">
        <v>257</v>
      </c>
      <c r="G125" s="276" t="s">
        <v>116</v>
      </c>
      <c r="H125" s="198" t="s">
        <v>258</v>
      </c>
      <c r="I125" s="276" t="s">
        <v>702</v>
      </c>
      <c r="J125" s="276" t="s">
        <v>703</v>
      </c>
      <c r="K125" s="276">
        <v>9325</v>
      </c>
      <c r="L125" s="277" t="s">
        <v>190</v>
      </c>
      <c r="M125" s="276">
        <v>1997</v>
      </c>
      <c r="N125" s="276"/>
      <c r="O125" s="276"/>
      <c r="P125" s="276"/>
      <c r="Q125" s="276"/>
      <c r="R125" s="277"/>
      <c r="S125" s="276"/>
      <c r="T125" s="276"/>
      <c r="U125" s="276"/>
      <c r="V125" s="276"/>
      <c r="W125" s="276"/>
      <c r="X125" s="276"/>
      <c r="Y125" s="276"/>
      <c r="Z125" s="276"/>
      <c r="AA125" s="276"/>
      <c r="AB125" s="276"/>
      <c r="AC125" s="276"/>
      <c r="AD125" s="276"/>
      <c r="AE125" s="276"/>
      <c r="AF125" s="276"/>
      <c r="AG125" s="276"/>
      <c r="AH125" s="276"/>
      <c r="AI125" s="276"/>
      <c r="AJ125" s="276"/>
      <c r="AK125" s="276"/>
      <c r="AL125" s="276"/>
      <c r="AM125" s="276"/>
      <c r="AN125" s="276"/>
      <c r="AO125" s="276"/>
      <c r="AP125" s="276"/>
      <c r="AQ125" s="276"/>
      <c r="AR125" s="276"/>
      <c r="AS125" s="276"/>
      <c r="AT125" s="276" t="s">
        <v>180</v>
      </c>
      <c r="AU125" s="276"/>
      <c r="AV125" s="276"/>
      <c r="AW125" s="236"/>
    </row>
    <row r="126" spans="1:49" s="240" customFormat="1">
      <c r="A126" s="276" t="s">
        <v>235</v>
      </c>
      <c r="B126" s="276"/>
      <c r="C126" s="276"/>
      <c r="D126" s="276"/>
      <c r="E126" s="276" t="s">
        <v>704</v>
      </c>
      <c r="F126" s="277" t="s">
        <v>257</v>
      </c>
      <c r="G126" s="276" t="s">
        <v>116</v>
      </c>
      <c r="H126" s="198" t="s">
        <v>258</v>
      </c>
      <c r="I126" s="276" t="s">
        <v>705</v>
      </c>
      <c r="J126" s="276" t="s">
        <v>706</v>
      </c>
      <c r="K126" s="276">
        <v>200</v>
      </c>
      <c r="L126" s="277" t="s">
        <v>190</v>
      </c>
      <c r="M126" s="276">
        <v>2000</v>
      </c>
      <c r="N126" s="276"/>
      <c r="O126" s="276"/>
      <c r="P126" s="276"/>
      <c r="Q126" s="276"/>
      <c r="R126" s="277"/>
      <c r="S126" s="276"/>
      <c r="T126" s="276"/>
      <c r="U126" s="276"/>
      <c r="V126" s="276"/>
      <c r="W126" s="276"/>
      <c r="X126" s="276"/>
      <c r="Y126" s="276"/>
      <c r="Z126" s="276"/>
      <c r="AA126" s="276"/>
      <c r="AB126" s="276"/>
      <c r="AC126" s="276"/>
      <c r="AD126" s="276"/>
      <c r="AE126" s="276"/>
      <c r="AF126" s="276"/>
      <c r="AG126" s="276"/>
      <c r="AH126" s="276"/>
      <c r="AI126" s="276"/>
      <c r="AJ126" s="276"/>
      <c r="AK126" s="276"/>
      <c r="AL126" s="276"/>
      <c r="AM126" s="276"/>
      <c r="AN126" s="276"/>
      <c r="AO126" s="276"/>
      <c r="AP126" s="276"/>
      <c r="AQ126" s="276"/>
      <c r="AR126" s="276"/>
      <c r="AS126" s="276"/>
      <c r="AT126" s="276" t="s">
        <v>180</v>
      </c>
      <c r="AU126" s="276"/>
      <c r="AV126" s="276"/>
      <c r="AW126" s="236"/>
    </row>
    <row r="127" spans="1:49" ht="30.75">
      <c r="A127" s="236" t="s">
        <v>169</v>
      </c>
      <c r="B127" s="236">
        <v>2085</v>
      </c>
      <c r="C127" s="236" t="s">
        <v>707</v>
      </c>
      <c r="D127" s="236"/>
      <c r="E127" s="236" t="s">
        <v>708</v>
      </c>
      <c r="F127" s="276" t="s">
        <v>54</v>
      </c>
      <c r="G127" s="276" t="s">
        <v>173</v>
      </c>
      <c r="H127" s="236" t="s">
        <v>270</v>
      </c>
      <c r="I127" s="205" t="s">
        <v>709</v>
      </c>
      <c r="J127" s="236" t="s">
        <v>710</v>
      </c>
      <c r="K127" s="236">
        <v>332.92</v>
      </c>
      <c r="L127" s="277" t="s">
        <v>190</v>
      </c>
      <c r="M127" s="276">
        <v>2009</v>
      </c>
      <c r="N127" s="276">
        <v>2009</v>
      </c>
      <c r="O127" s="236" t="s">
        <v>193</v>
      </c>
      <c r="P127" s="236" t="s">
        <v>199</v>
      </c>
      <c r="Q127" s="236" t="s">
        <v>199</v>
      </c>
      <c r="R127" s="238" t="s">
        <v>181</v>
      </c>
      <c r="S127" s="236">
        <v>1</v>
      </c>
      <c r="T127" s="236">
        <v>333</v>
      </c>
      <c r="U127" s="236">
        <v>333</v>
      </c>
      <c r="V127" s="236"/>
      <c r="W127" s="236">
        <v>0</v>
      </c>
      <c r="X127" s="236">
        <v>0</v>
      </c>
      <c r="Y127" s="236">
        <v>0</v>
      </c>
      <c r="Z127" s="236">
        <v>333</v>
      </c>
      <c r="AA127" s="236">
        <v>0</v>
      </c>
      <c r="AB127" s="236">
        <v>0</v>
      </c>
      <c r="AC127" s="236">
        <v>0</v>
      </c>
      <c r="AD127" s="236" t="s">
        <v>145</v>
      </c>
      <c r="AE127" s="236">
        <v>0</v>
      </c>
      <c r="AF127" s="236" t="s">
        <v>208</v>
      </c>
      <c r="AG127" s="236">
        <v>0</v>
      </c>
      <c r="AH127" s="236">
        <v>1</v>
      </c>
      <c r="AI127" s="236"/>
      <c r="AJ127" s="236">
        <v>0</v>
      </c>
      <c r="AK127" s="236">
        <v>0</v>
      </c>
      <c r="AL127" s="236">
        <v>0</v>
      </c>
      <c r="AM127" s="236"/>
      <c r="AN127" s="236"/>
      <c r="AO127" s="236"/>
      <c r="AP127" s="236"/>
      <c r="AQ127" s="236">
        <v>555600113</v>
      </c>
      <c r="AR127" s="236" t="s">
        <v>193</v>
      </c>
      <c r="AS127" s="236" t="s">
        <v>193</v>
      </c>
      <c r="AT127" s="236" t="s">
        <v>180</v>
      </c>
      <c r="AU127" s="206"/>
      <c r="AV127" s="236"/>
      <c r="AW127" s="236"/>
    </row>
    <row r="128" spans="1:49" ht="30.75">
      <c r="A128" s="236" t="s">
        <v>169</v>
      </c>
      <c r="B128" s="236">
        <v>2088</v>
      </c>
      <c r="C128" s="236" t="s">
        <v>711</v>
      </c>
      <c r="D128" s="236"/>
      <c r="E128" s="236" t="s">
        <v>712</v>
      </c>
      <c r="F128" s="276" t="s">
        <v>54</v>
      </c>
      <c r="G128" s="276" t="s">
        <v>173</v>
      </c>
      <c r="H128" s="236" t="s">
        <v>270</v>
      </c>
      <c r="I128" s="199" t="s">
        <v>713</v>
      </c>
      <c r="J128" s="236" t="s">
        <v>676</v>
      </c>
      <c r="K128" s="236">
        <v>32.08</v>
      </c>
      <c r="L128" s="277" t="s">
        <v>190</v>
      </c>
      <c r="M128" s="276">
        <v>2009</v>
      </c>
      <c r="N128" s="276">
        <v>2009</v>
      </c>
      <c r="O128" s="236" t="s">
        <v>193</v>
      </c>
      <c r="P128" s="236" t="s">
        <v>199</v>
      </c>
      <c r="Q128" s="236" t="s">
        <v>199</v>
      </c>
      <c r="R128" s="238" t="s">
        <v>181</v>
      </c>
      <c r="S128" s="236">
        <v>1</v>
      </c>
      <c r="T128" s="236">
        <v>32.097418480000002</v>
      </c>
      <c r="U128" s="236">
        <v>32.097418480000002</v>
      </c>
      <c r="V128" s="236"/>
      <c r="W128" s="236">
        <v>0</v>
      </c>
      <c r="X128" s="236">
        <v>0</v>
      </c>
      <c r="Y128" s="236">
        <v>0</v>
      </c>
      <c r="Z128" s="236">
        <v>32.097418480000002</v>
      </c>
      <c r="AA128" s="236">
        <v>0</v>
      </c>
      <c r="AB128" s="236">
        <v>0</v>
      </c>
      <c r="AC128" s="236">
        <v>0</v>
      </c>
      <c r="AD128" s="236" t="s">
        <v>145</v>
      </c>
      <c r="AE128" s="236">
        <v>0</v>
      </c>
      <c r="AF128" s="236" t="s">
        <v>208</v>
      </c>
      <c r="AG128" s="236">
        <v>0</v>
      </c>
      <c r="AH128" s="236">
        <v>1</v>
      </c>
      <c r="AI128" s="236"/>
      <c r="AJ128" s="236">
        <v>0</v>
      </c>
      <c r="AK128" s="236">
        <v>0</v>
      </c>
      <c r="AL128" s="236">
        <v>0</v>
      </c>
      <c r="AM128" s="236"/>
      <c r="AN128" s="236"/>
      <c r="AO128" s="236"/>
      <c r="AP128" s="236"/>
      <c r="AQ128" s="236">
        <v>555600031</v>
      </c>
      <c r="AR128" s="236" t="s">
        <v>193</v>
      </c>
      <c r="AS128" s="236" t="s">
        <v>193</v>
      </c>
      <c r="AT128" s="236" t="s">
        <v>180</v>
      </c>
      <c r="AU128" s="199"/>
      <c r="AV128" s="236"/>
      <c r="AW128" s="236"/>
    </row>
    <row r="129" spans="1:49" ht="30.75">
      <c r="A129" s="236" t="s">
        <v>169</v>
      </c>
      <c r="B129" s="236">
        <v>2089</v>
      </c>
      <c r="C129" s="236" t="s">
        <v>714</v>
      </c>
      <c r="D129" s="236"/>
      <c r="E129" s="236" t="s">
        <v>715</v>
      </c>
      <c r="F129" s="276" t="s">
        <v>54</v>
      </c>
      <c r="G129" s="276" t="s">
        <v>173</v>
      </c>
      <c r="H129" s="236" t="s">
        <v>270</v>
      </c>
      <c r="I129" s="199" t="s">
        <v>716</v>
      </c>
      <c r="J129" s="236" t="s">
        <v>676</v>
      </c>
      <c r="K129" s="236">
        <v>24.44</v>
      </c>
      <c r="L129" s="277" t="s">
        <v>190</v>
      </c>
      <c r="M129" s="276">
        <v>2009</v>
      </c>
      <c r="N129" s="276">
        <v>2009</v>
      </c>
      <c r="O129" s="236" t="s">
        <v>193</v>
      </c>
      <c r="P129" s="236" t="s">
        <v>199</v>
      </c>
      <c r="Q129" s="236" t="s">
        <v>199</v>
      </c>
      <c r="R129" s="238" t="s">
        <v>181</v>
      </c>
      <c r="S129" s="236">
        <v>1</v>
      </c>
      <c r="T129" s="236">
        <v>24</v>
      </c>
      <c r="U129" s="236">
        <v>24</v>
      </c>
      <c r="V129" s="236"/>
      <c r="W129" s="236">
        <v>0</v>
      </c>
      <c r="X129" s="236">
        <v>0</v>
      </c>
      <c r="Y129" s="236">
        <v>0</v>
      </c>
      <c r="Z129" s="236">
        <v>24</v>
      </c>
      <c r="AA129" s="236">
        <v>0</v>
      </c>
      <c r="AB129" s="236">
        <v>0</v>
      </c>
      <c r="AC129" s="236">
        <v>0</v>
      </c>
      <c r="AD129" s="236" t="s">
        <v>145</v>
      </c>
      <c r="AE129" s="236">
        <v>0</v>
      </c>
      <c r="AF129" s="236" t="s">
        <v>208</v>
      </c>
      <c r="AG129" s="236">
        <v>0</v>
      </c>
      <c r="AH129" s="236">
        <v>1</v>
      </c>
      <c r="AI129" s="236"/>
      <c r="AJ129" s="236">
        <v>0</v>
      </c>
      <c r="AK129" s="236">
        <v>0</v>
      </c>
      <c r="AL129" s="236">
        <v>0</v>
      </c>
      <c r="AM129" s="236"/>
      <c r="AN129" s="236"/>
      <c r="AO129" s="236"/>
      <c r="AP129" s="236"/>
      <c r="AQ129" s="236">
        <v>555600023</v>
      </c>
      <c r="AR129" s="236" t="s">
        <v>193</v>
      </c>
      <c r="AS129" s="236" t="s">
        <v>193</v>
      </c>
      <c r="AT129" s="236" t="s">
        <v>180</v>
      </c>
      <c r="AU129" s="199"/>
      <c r="AV129" s="236"/>
      <c r="AW129" s="236"/>
    </row>
    <row r="130" spans="1:49" ht="30.75">
      <c r="A130" s="236" t="s">
        <v>169</v>
      </c>
      <c r="B130" s="236">
        <v>2090</v>
      </c>
      <c r="C130" s="236" t="s">
        <v>717</v>
      </c>
      <c r="D130" s="236"/>
      <c r="E130" s="236" t="s">
        <v>718</v>
      </c>
      <c r="F130" s="276" t="s">
        <v>54</v>
      </c>
      <c r="G130" s="276" t="s">
        <v>173</v>
      </c>
      <c r="H130" s="236" t="s">
        <v>270</v>
      </c>
      <c r="I130" s="199" t="s">
        <v>719</v>
      </c>
      <c r="J130" s="236" t="s">
        <v>676</v>
      </c>
      <c r="K130" s="236">
        <v>78.599999999999994</v>
      </c>
      <c r="L130" s="277" t="s">
        <v>190</v>
      </c>
      <c r="M130" s="276">
        <v>2009</v>
      </c>
      <c r="N130" s="276">
        <v>2009</v>
      </c>
      <c r="O130" s="236" t="s">
        <v>193</v>
      </c>
      <c r="P130" s="236" t="s">
        <v>199</v>
      </c>
      <c r="Q130" s="236" t="s">
        <v>199</v>
      </c>
      <c r="R130" s="238" t="s">
        <v>181</v>
      </c>
      <c r="S130" s="236">
        <v>1</v>
      </c>
      <c r="T130" s="236">
        <v>78</v>
      </c>
      <c r="U130" s="236">
        <v>78</v>
      </c>
      <c r="V130" s="236"/>
      <c r="W130" s="236">
        <v>0</v>
      </c>
      <c r="X130" s="236">
        <v>0</v>
      </c>
      <c r="Y130" s="236">
        <v>0</v>
      </c>
      <c r="Z130" s="236">
        <v>78</v>
      </c>
      <c r="AA130" s="236">
        <v>0</v>
      </c>
      <c r="AB130" s="236">
        <v>0</v>
      </c>
      <c r="AC130" s="236">
        <v>0</v>
      </c>
      <c r="AD130" s="236" t="s">
        <v>145</v>
      </c>
      <c r="AE130" s="236">
        <v>0</v>
      </c>
      <c r="AF130" s="236" t="s">
        <v>208</v>
      </c>
      <c r="AG130" s="236">
        <v>0</v>
      </c>
      <c r="AH130" s="236">
        <v>1</v>
      </c>
      <c r="AI130" s="236"/>
      <c r="AJ130" s="236">
        <v>0</v>
      </c>
      <c r="AK130" s="236">
        <v>0</v>
      </c>
      <c r="AL130" s="236">
        <v>0</v>
      </c>
      <c r="AM130" s="236"/>
      <c r="AN130" s="236"/>
      <c r="AO130" s="236"/>
      <c r="AP130" s="236"/>
      <c r="AQ130" s="236">
        <v>555600083</v>
      </c>
      <c r="AR130" s="236" t="s">
        <v>193</v>
      </c>
      <c r="AS130" s="236" t="s">
        <v>193</v>
      </c>
      <c r="AT130" s="236" t="s">
        <v>180</v>
      </c>
      <c r="AU130" s="199"/>
      <c r="AV130" s="236"/>
      <c r="AW130" s="236"/>
    </row>
    <row r="131" spans="1:49" ht="30.75">
      <c r="A131" s="236" t="s">
        <v>169</v>
      </c>
      <c r="B131" s="236">
        <v>2112</v>
      </c>
      <c r="C131" s="236" t="s">
        <v>720</v>
      </c>
      <c r="D131" s="236"/>
      <c r="E131" s="236" t="s">
        <v>721</v>
      </c>
      <c r="F131" s="276" t="s">
        <v>54</v>
      </c>
      <c r="G131" s="276" t="s">
        <v>173</v>
      </c>
      <c r="H131" s="236" t="s">
        <v>270</v>
      </c>
      <c r="I131" s="205" t="s">
        <v>722</v>
      </c>
      <c r="J131" s="236" t="s">
        <v>519</v>
      </c>
      <c r="K131" s="236">
        <v>60</v>
      </c>
      <c r="L131" s="277" t="s">
        <v>190</v>
      </c>
      <c r="M131" s="276">
        <v>2009</v>
      </c>
      <c r="N131" s="276">
        <v>2009</v>
      </c>
      <c r="O131" s="236" t="s">
        <v>193</v>
      </c>
      <c r="P131" s="236" t="s">
        <v>199</v>
      </c>
      <c r="Q131" s="236" t="s">
        <v>199</v>
      </c>
      <c r="R131" s="238" t="s">
        <v>181</v>
      </c>
      <c r="S131" s="236">
        <v>1</v>
      </c>
      <c r="T131" s="236">
        <v>60</v>
      </c>
      <c r="U131" s="236">
        <v>60</v>
      </c>
      <c r="V131" s="236"/>
      <c r="W131" s="236">
        <v>0</v>
      </c>
      <c r="X131" s="236">
        <v>0</v>
      </c>
      <c r="Y131" s="236">
        <v>0</v>
      </c>
      <c r="Z131" s="236">
        <v>60</v>
      </c>
      <c r="AA131" s="236">
        <v>0</v>
      </c>
      <c r="AB131" s="236">
        <v>0</v>
      </c>
      <c r="AC131" s="236">
        <v>0</v>
      </c>
      <c r="AD131" s="236" t="s">
        <v>145</v>
      </c>
      <c r="AE131" s="236">
        <v>0</v>
      </c>
      <c r="AF131" s="236" t="s">
        <v>208</v>
      </c>
      <c r="AG131" s="236">
        <v>0</v>
      </c>
      <c r="AH131" s="236">
        <v>1</v>
      </c>
      <c r="AI131" s="236"/>
      <c r="AJ131" s="236">
        <v>0</v>
      </c>
      <c r="AK131" s="236">
        <v>0</v>
      </c>
      <c r="AL131" s="236">
        <v>0</v>
      </c>
      <c r="AM131" s="236"/>
      <c r="AN131" s="236"/>
      <c r="AO131" s="236"/>
      <c r="AP131" s="236"/>
      <c r="AQ131" s="236">
        <v>555600138</v>
      </c>
      <c r="AR131" s="236" t="s">
        <v>193</v>
      </c>
      <c r="AS131" s="236" t="s">
        <v>193</v>
      </c>
      <c r="AT131" s="236" t="s">
        <v>180</v>
      </c>
      <c r="AU131" s="206"/>
      <c r="AV131" s="236"/>
      <c r="AW131" s="236"/>
    </row>
    <row r="132" spans="1:49" ht="30.75">
      <c r="A132" s="236" t="s">
        <v>169</v>
      </c>
      <c r="B132" s="236">
        <v>2117</v>
      </c>
      <c r="C132" s="236" t="s">
        <v>723</v>
      </c>
      <c r="D132" s="236"/>
      <c r="E132" s="236" t="s">
        <v>724</v>
      </c>
      <c r="F132" s="276" t="s">
        <v>54</v>
      </c>
      <c r="G132" s="276" t="s">
        <v>173</v>
      </c>
      <c r="H132" s="236" t="s">
        <v>270</v>
      </c>
      <c r="I132" s="199" t="s">
        <v>725</v>
      </c>
      <c r="J132" s="236" t="s">
        <v>523</v>
      </c>
      <c r="K132" s="236">
        <v>5.99</v>
      </c>
      <c r="L132" s="277" t="s">
        <v>190</v>
      </c>
      <c r="M132" s="276">
        <v>2009</v>
      </c>
      <c r="N132" s="276">
        <v>2009</v>
      </c>
      <c r="O132" s="236" t="s">
        <v>193</v>
      </c>
      <c r="P132" s="236" t="s">
        <v>199</v>
      </c>
      <c r="Q132" s="236" t="s">
        <v>199</v>
      </c>
      <c r="R132" s="238" t="s">
        <v>181</v>
      </c>
      <c r="S132" s="236">
        <v>1</v>
      </c>
      <c r="T132" s="236">
        <v>6</v>
      </c>
      <c r="U132" s="236">
        <v>6</v>
      </c>
      <c r="V132" s="236"/>
      <c r="W132" s="236">
        <v>0</v>
      </c>
      <c r="X132" s="236">
        <v>0</v>
      </c>
      <c r="Y132" s="236">
        <v>0</v>
      </c>
      <c r="Z132" s="236">
        <v>6</v>
      </c>
      <c r="AA132" s="236">
        <v>0</v>
      </c>
      <c r="AB132" s="236">
        <v>0</v>
      </c>
      <c r="AC132" s="236">
        <v>0</v>
      </c>
      <c r="AD132" s="236" t="s">
        <v>145</v>
      </c>
      <c r="AE132" s="236">
        <v>0</v>
      </c>
      <c r="AF132" s="236" t="s">
        <v>208</v>
      </c>
      <c r="AG132" s="236">
        <v>0</v>
      </c>
      <c r="AH132" s="236">
        <v>1</v>
      </c>
      <c r="AI132" s="236"/>
      <c r="AJ132" s="236">
        <v>0</v>
      </c>
      <c r="AK132" s="236">
        <v>0</v>
      </c>
      <c r="AL132" s="236">
        <v>0</v>
      </c>
      <c r="AM132" s="236"/>
      <c r="AN132" s="236"/>
      <c r="AO132" s="236"/>
      <c r="AP132" s="236"/>
      <c r="AQ132" s="236">
        <v>555599989</v>
      </c>
      <c r="AR132" s="236" t="s">
        <v>193</v>
      </c>
      <c r="AS132" s="236" t="s">
        <v>193</v>
      </c>
      <c r="AT132" s="236" t="s">
        <v>180</v>
      </c>
      <c r="AU132" s="199"/>
      <c r="AV132" s="236"/>
      <c r="AW132" s="236"/>
    </row>
    <row r="133" spans="1:49" ht="30.75">
      <c r="A133" s="236" t="s">
        <v>169</v>
      </c>
      <c r="B133" s="236">
        <v>2151</v>
      </c>
      <c r="C133" s="236" t="s">
        <v>726</v>
      </c>
      <c r="D133" s="236"/>
      <c r="E133" s="236" t="s">
        <v>727</v>
      </c>
      <c r="F133" s="276" t="s">
        <v>54</v>
      </c>
      <c r="G133" s="276" t="s">
        <v>173</v>
      </c>
      <c r="H133" s="236" t="s">
        <v>270</v>
      </c>
      <c r="I133" s="199" t="s">
        <v>728</v>
      </c>
      <c r="J133" s="236" t="s">
        <v>684</v>
      </c>
      <c r="K133" s="236">
        <v>100</v>
      </c>
      <c r="L133" s="277" t="s">
        <v>190</v>
      </c>
      <c r="M133" s="276">
        <v>2009</v>
      </c>
      <c r="N133" s="276">
        <v>2009</v>
      </c>
      <c r="O133" s="236" t="s">
        <v>193</v>
      </c>
      <c r="P133" s="236" t="s">
        <v>199</v>
      </c>
      <c r="Q133" s="236" t="s">
        <v>199</v>
      </c>
      <c r="R133" s="238" t="s">
        <v>181</v>
      </c>
      <c r="S133" s="236">
        <v>1</v>
      </c>
      <c r="T133" s="236">
        <v>91.380486250000004</v>
      </c>
      <c r="U133" s="236">
        <v>91.380486250000004</v>
      </c>
      <c r="V133" s="236"/>
      <c r="W133" s="236">
        <v>0</v>
      </c>
      <c r="X133" s="236">
        <v>0</v>
      </c>
      <c r="Y133" s="236">
        <v>0</v>
      </c>
      <c r="Z133" s="236">
        <v>91.380486250000004</v>
      </c>
      <c r="AA133" s="236">
        <v>0</v>
      </c>
      <c r="AB133" s="236">
        <v>0</v>
      </c>
      <c r="AC133" s="236">
        <v>0</v>
      </c>
      <c r="AD133" s="236" t="s">
        <v>145</v>
      </c>
      <c r="AE133" s="236">
        <v>0</v>
      </c>
      <c r="AF133" s="236" t="s">
        <v>208</v>
      </c>
      <c r="AG133" s="236">
        <v>0</v>
      </c>
      <c r="AH133" s="236">
        <v>1</v>
      </c>
      <c r="AI133" s="236"/>
      <c r="AJ133" s="236">
        <v>0</v>
      </c>
      <c r="AK133" s="236">
        <v>0</v>
      </c>
      <c r="AL133" s="236">
        <v>0</v>
      </c>
      <c r="AM133" s="236"/>
      <c r="AN133" s="236"/>
      <c r="AO133" s="236"/>
      <c r="AP133" s="236"/>
      <c r="AQ133" s="236">
        <v>555600170</v>
      </c>
      <c r="AR133" s="236" t="s">
        <v>193</v>
      </c>
      <c r="AS133" s="236" t="s">
        <v>193</v>
      </c>
      <c r="AT133" s="236" t="s">
        <v>180</v>
      </c>
      <c r="AU133" s="199"/>
      <c r="AV133" s="236"/>
      <c r="AW133" s="236"/>
    </row>
    <row r="134" spans="1:49" ht="30.75">
      <c r="A134" s="236" t="s">
        <v>169</v>
      </c>
      <c r="B134" s="236">
        <v>2193</v>
      </c>
      <c r="C134" s="236" t="s">
        <v>729</v>
      </c>
      <c r="D134" s="236"/>
      <c r="E134" s="236" t="s">
        <v>730</v>
      </c>
      <c r="F134" s="276" t="s">
        <v>54</v>
      </c>
      <c r="G134" s="276" t="s">
        <v>173</v>
      </c>
      <c r="H134" s="236" t="s">
        <v>270</v>
      </c>
      <c r="I134" s="205" t="s">
        <v>731</v>
      </c>
      <c r="J134" s="236" t="s">
        <v>732</v>
      </c>
      <c r="K134" s="236">
        <v>4.95</v>
      </c>
      <c r="L134" s="277" t="s">
        <v>190</v>
      </c>
      <c r="M134" s="276">
        <v>2009</v>
      </c>
      <c r="N134" s="276">
        <v>2009</v>
      </c>
      <c r="O134" s="236" t="s">
        <v>193</v>
      </c>
      <c r="P134" s="236" t="s">
        <v>199</v>
      </c>
      <c r="Q134" s="236" t="s">
        <v>199</v>
      </c>
      <c r="R134" s="238" t="s">
        <v>181</v>
      </c>
      <c r="S134" s="236">
        <v>1</v>
      </c>
      <c r="T134" s="236">
        <v>5</v>
      </c>
      <c r="U134" s="236">
        <v>5</v>
      </c>
      <c r="V134" s="236"/>
      <c r="W134" s="236">
        <v>0</v>
      </c>
      <c r="X134" s="236">
        <v>0</v>
      </c>
      <c r="Y134" s="236">
        <v>0</v>
      </c>
      <c r="Z134" s="236">
        <v>5</v>
      </c>
      <c r="AA134" s="236">
        <v>0</v>
      </c>
      <c r="AB134" s="236">
        <v>0</v>
      </c>
      <c r="AC134" s="236">
        <v>0</v>
      </c>
      <c r="AD134" s="236" t="s">
        <v>145</v>
      </c>
      <c r="AE134" s="236">
        <v>0</v>
      </c>
      <c r="AF134" s="236" t="s">
        <v>208</v>
      </c>
      <c r="AG134" s="236">
        <v>0</v>
      </c>
      <c r="AH134" s="236">
        <v>1</v>
      </c>
      <c r="AI134" s="236"/>
      <c r="AJ134" s="236">
        <v>0</v>
      </c>
      <c r="AK134" s="236">
        <v>0</v>
      </c>
      <c r="AL134" s="236">
        <v>0</v>
      </c>
      <c r="AM134" s="236"/>
      <c r="AN134" s="236"/>
      <c r="AO134" s="236"/>
      <c r="AP134" s="236"/>
      <c r="AQ134" s="236">
        <v>555600139</v>
      </c>
      <c r="AR134" s="236" t="s">
        <v>193</v>
      </c>
      <c r="AS134" s="236" t="s">
        <v>193</v>
      </c>
      <c r="AT134" s="236" t="s">
        <v>180</v>
      </c>
      <c r="AU134" s="206"/>
      <c r="AV134" s="236"/>
      <c r="AW134" s="236"/>
    </row>
    <row r="135" spans="1:49" ht="30.75">
      <c r="A135" s="236" t="s">
        <v>169</v>
      </c>
      <c r="B135" s="236">
        <v>2217</v>
      </c>
      <c r="C135" s="236" t="s">
        <v>733</v>
      </c>
      <c r="D135" s="236"/>
      <c r="E135" s="236" t="s">
        <v>734</v>
      </c>
      <c r="F135" s="276" t="s">
        <v>54</v>
      </c>
      <c r="G135" s="276" t="s">
        <v>173</v>
      </c>
      <c r="H135" s="236" t="s">
        <v>270</v>
      </c>
      <c r="I135" s="205" t="s">
        <v>735</v>
      </c>
      <c r="J135" s="236" t="s">
        <v>710</v>
      </c>
      <c r="K135" s="236">
        <v>23.12</v>
      </c>
      <c r="L135" s="277" t="s">
        <v>190</v>
      </c>
      <c r="M135" s="276">
        <v>2009</v>
      </c>
      <c r="N135" s="276">
        <v>2009</v>
      </c>
      <c r="O135" s="236" t="s">
        <v>193</v>
      </c>
      <c r="P135" s="236" t="s">
        <v>199</v>
      </c>
      <c r="Q135" s="236" t="s">
        <v>199</v>
      </c>
      <c r="R135" s="238" t="s">
        <v>181</v>
      </c>
      <c r="S135" s="236">
        <v>0</v>
      </c>
      <c r="T135" s="236">
        <v>23</v>
      </c>
      <c r="U135" s="236">
        <v>23</v>
      </c>
      <c r="V135" s="236"/>
      <c r="W135" s="236">
        <v>0</v>
      </c>
      <c r="X135" s="236">
        <v>0</v>
      </c>
      <c r="Y135" s="236">
        <v>0</v>
      </c>
      <c r="Z135" s="236">
        <v>23</v>
      </c>
      <c r="AA135" s="236">
        <v>0</v>
      </c>
      <c r="AB135" s="236">
        <v>0</v>
      </c>
      <c r="AC135" s="236">
        <v>0</v>
      </c>
      <c r="AD135" s="236" t="s">
        <v>145</v>
      </c>
      <c r="AE135" s="236">
        <v>0</v>
      </c>
      <c r="AF135" s="236" t="s">
        <v>208</v>
      </c>
      <c r="AG135" s="236">
        <v>0</v>
      </c>
      <c r="AH135" s="236">
        <v>1</v>
      </c>
      <c r="AI135" s="236"/>
      <c r="AJ135" s="236">
        <v>0</v>
      </c>
      <c r="AK135" s="236">
        <v>0</v>
      </c>
      <c r="AL135" s="236">
        <v>0</v>
      </c>
      <c r="AM135" s="236"/>
      <c r="AN135" s="236"/>
      <c r="AO135" s="236"/>
      <c r="AP135" s="236"/>
      <c r="AQ135" s="236">
        <v>555682484</v>
      </c>
      <c r="AR135" s="236" t="s">
        <v>193</v>
      </c>
      <c r="AS135" s="236" t="s">
        <v>193</v>
      </c>
      <c r="AT135" s="236" t="s">
        <v>180</v>
      </c>
      <c r="AU135" s="206"/>
      <c r="AV135" s="236"/>
      <c r="AW135" s="236"/>
    </row>
    <row r="136" spans="1:49" s="240" customFormat="1">
      <c r="A136" s="276" t="s">
        <v>235</v>
      </c>
      <c r="B136" s="276"/>
      <c r="C136" s="276"/>
      <c r="D136" s="276"/>
      <c r="E136" s="276" t="s">
        <v>736</v>
      </c>
      <c r="F136" s="276" t="s">
        <v>172</v>
      </c>
      <c r="G136" s="276" t="s">
        <v>116</v>
      </c>
      <c r="H136" s="236" t="s">
        <v>270</v>
      </c>
      <c r="I136" s="276" t="s">
        <v>737</v>
      </c>
      <c r="J136" s="276" t="s">
        <v>738</v>
      </c>
      <c r="K136" s="276">
        <v>3.12</v>
      </c>
      <c r="L136" s="277" t="s">
        <v>190</v>
      </c>
      <c r="M136" s="276">
        <v>2022</v>
      </c>
      <c r="N136" s="276"/>
      <c r="O136" s="276"/>
      <c r="P136" s="276"/>
      <c r="Q136" s="276"/>
      <c r="R136" s="277"/>
      <c r="S136" s="276"/>
      <c r="T136" s="276"/>
      <c r="U136" s="276"/>
      <c r="V136" s="276"/>
      <c r="W136" s="276">
        <v>0</v>
      </c>
      <c r="X136" s="276">
        <v>0</v>
      </c>
      <c r="Y136" s="276">
        <v>0</v>
      </c>
      <c r="Z136" s="276"/>
      <c r="AA136" s="276">
        <v>0</v>
      </c>
      <c r="AB136" s="276">
        <v>0</v>
      </c>
      <c r="AC136" s="276"/>
      <c r="AD136" s="276"/>
      <c r="AE136" s="276"/>
      <c r="AF136" s="276"/>
      <c r="AG136" s="276"/>
      <c r="AH136" s="276"/>
      <c r="AI136" s="276"/>
      <c r="AJ136" s="276"/>
      <c r="AK136" s="276"/>
      <c r="AL136" s="276"/>
      <c r="AM136" s="276"/>
      <c r="AN136" s="276"/>
      <c r="AO136" s="276"/>
      <c r="AP136" s="276"/>
      <c r="AQ136" s="276"/>
      <c r="AR136" s="276"/>
      <c r="AS136" s="276"/>
      <c r="AT136" s="276"/>
      <c r="AU136" s="276"/>
      <c r="AV136" s="276"/>
      <c r="AW136" s="236"/>
    </row>
    <row r="137" spans="1:49" s="240" customFormat="1">
      <c r="A137" s="276" t="s">
        <v>169</v>
      </c>
      <c r="B137" s="198">
        <v>3962</v>
      </c>
      <c r="C137" s="198" t="s">
        <v>739</v>
      </c>
      <c r="D137" s="276"/>
      <c r="E137" s="276" t="s">
        <v>740</v>
      </c>
      <c r="F137" s="277" t="s">
        <v>257</v>
      </c>
      <c r="G137" s="197" t="s">
        <v>220</v>
      </c>
      <c r="H137" s="198" t="s">
        <v>258</v>
      </c>
      <c r="I137" s="277" t="s">
        <v>741</v>
      </c>
      <c r="J137" s="198" t="s">
        <v>742</v>
      </c>
      <c r="K137" s="198">
        <v>935</v>
      </c>
      <c r="L137" s="277" t="s">
        <v>190</v>
      </c>
      <c r="M137" s="276">
        <v>2009</v>
      </c>
      <c r="N137" s="198">
        <v>2009</v>
      </c>
      <c r="O137" s="198" t="s">
        <v>193</v>
      </c>
      <c r="P137" s="198" t="s">
        <v>199</v>
      </c>
      <c r="Q137" s="198" t="s">
        <v>199</v>
      </c>
      <c r="R137" s="198" t="s">
        <v>224</v>
      </c>
      <c r="S137" s="198">
        <v>1</v>
      </c>
      <c r="T137" s="198">
        <v>920</v>
      </c>
      <c r="U137" s="198">
        <v>920</v>
      </c>
      <c r="V137" s="198"/>
      <c r="W137" s="198">
        <v>0</v>
      </c>
      <c r="X137" s="198">
        <v>0</v>
      </c>
      <c r="Y137" s="198">
        <v>0</v>
      </c>
      <c r="Z137" s="198">
        <v>920</v>
      </c>
      <c r="AA137" s="198">
        <v>0</v>
      </c>
      <c r="AB137" s="198">
        <v>0</v>
      </c>
      <c r="AC137" s="198">
        <v>0</v>
      </c>
      <c r="AD137" s="198" t="s">
        <v>145</v>
      </c>
      <c r="AE137" s="198">
        <v>0</v>
      </c>
      <c r="AF137" s="198" t="s">
        <v>208</v>
      </c>
      <c r="AG137" s="198">
        <v>0</v>
      </c>
      <c r="AH137" s="198">
        <v>1</v>
      </c>
      <c r="AI137" s="198"/>
      <c r="AJ137" s="198">
        <v>0</v>
      </c>
      <c r="AK137" s="198">
        <v>0</v>
      </c>
      <c r="AL137" s="198">
        <v>0</v>
      </c>
      <c r="AM137" s="198"/>
      <c r="AN137" s="198"/>
      <c r="AO137" s="198"/>
      <c r="AP137" s="198"/>
      <c r="AQ137" s="198">
        <v>555682189</v>
      </c>
      <c r="AR137" s="276"/>
      <c r="AS137" s="276"/>
      <c r="AT137" s="276"/>
      <c r="AU137" s="250" t="s">
        <v>226</v>
      </c>
      <c r="AV137" s="276"/>
      <c r="AW137" s="236"/>
    </row>
    <row r="138" spans="1:49" s="240" customFormat="1">
      <c r="A138" s="276" t="s">
        <v>169</v>
      </c>
      <c r="B138" s="198">
        <v>3963</v>
      </c>
      <c r="C138" s="198" t="s">
        <v>743</v>
      </c>
      <c r="D138" s="276"/>
      <c r="E138" s="276" t="s">
        <v>744</v>
      </c>
      <c r="F138" s="277" t="s">
        <v>257</v>
      </c>
      <c r="G138" s="197" t="s">
        <v>220</v>
      </c>
      <c r="H138" s="198" t="s">
        <v>258</v>
      </c>
      <c r="I138" s="277" t="s">
        <v>741</v>
      </c>
      <c r="J138" s="198" t="s">
        <v>745</v>
      </c>
      <c r="K138" s="198">
        <v>5260</v>
      </c>
      <c r="L138" s="277" t="s">
        <v>190</v>
      </c>
      <c r="M138" s="277">
        <v>2009</v>
      </c>
      <c r="N138" s="198">
        <v>2009</v>
      </c>
      <c r="O138" s="198" t="s">
        <v>193</v>
      </c>
      <c r="P138" s="198" t="s">
        <v>199</v>
      </c>
      <c r="Q138" s="198" t="s">
        <v>199</v>
      </c>
      <c r="R138" s="198" t="s">
        <v>224</v>
      </c>
      <c r="S138" s="198">
        <v>1</v>
      </c>
      <c r="T138" s="198">
        <v>5340.4755269999996</v>
      </c>
      <c r="U138" s="198">
        <v>4504.0101969999996</v>
      </c>
      <c r="V138" s="198"/>
      <c r="W138" s="198">
        <v>0</v>
      </c>
      <c r="X138" s="198">
        <v>0</v>
      </c>
      <c r="Y138" s="198">
        <v>0</v>
      </c>
      <c r="Z138" s="198">
        <v>4504.0101969999996</v>
      </c>
      <c r="AA138" s="198">
        <v>0</v>
      </c>
      <c r="AB138" s="198">
        <v>0</v>
      </c>
      <c r="AC138" s="198">
        <v>836.46532990000003</v>
      </c>
      <c r="AD138" s="198" t="s">
        <v>145</v>
      </c>
      <c r="AE138" s="198">
        <v>0.1566275</v>
      </c>
      <c r="AF138" s="198" t="s">
        <v>208</v>
      </c>
      <c r="AG138" s="198">
        <v>0</v>
      </c>
      <c r="AH138" s="198">
        <v>1</v>
      </c>
      <c r="AI138" s="198"/>
      <c r="AJ138" s="198">
        <v>1</v>
      </c>
      <c r="AK138" s="198">
        <v>1</v>
      </c>
      <c r="AL138" s="198">
        <v>1</v>
      </c>
      <c r="AM138" s="198"/>
      <c r="AN138" s="198"/>
      <c r="AO138" s="198"/>
      <c r="AP138" s="198"/>
      <c r="AQ138" s="198">
        <v>555682292</v>
      </c>
      <c r="AR138" s="276"/>
      <c r="AS138" s="276"/>
      <c r="AT138" s="277"/>
      <c r="AU138" s="250" t="s">
        <v>226</v>
      </c>
      <c r="AV138" s="197" t="s">
        <v>746</v>
      </c>
      <c r="AW138" s="236"/>
    </row>
    <row r="139" spans="1:49" ht="30.75">
      <c r="A139" s="236" t="s">
        <v>169</v>
      </c>
      <c r="B139" s="236">
        <v>2154</v>
      </c>
      <c r="C139" s="236" t="s">
        <v>747</v>
      </c>
      <c r="D139" s="236"/>
      <c r="E139" s="236" t="s">
        <v>748</v>
      </c>
      <c r="F139" s="276" t="s">
        <v>54</v>
      </c>
      <c r="G139" s="276" t="s">
        <v>173</v>
      </c>
      <c r="H139" s="236" t="s">
        <v>270</v>
      </c>
      <c r="I139" s="199" t="s">
        <v>749</v>
      </c>
      <c r="J139" s="236" t="s">
        <v>684</v>
      </c>
      <c r="K139" s="236">
        <v>15.7</v>
      </c>
      <c r="L139" s="277" t="s">
        <v>190</v>
      </c>
      <c r="M139" s="276">
        <v>2010</v>
      </c>
      <c r="N139" s="276">
        <v>2010</v>
      </c>
      <c r="O139" s="236" t="s">
        <v>193</v>
      </c>
      <c r="P139" s="236" t="s">
        <v>199</v>
      </c>
      <c r="Q139" s="236" t="s">
        <v>199</v>
      </c>
      <c r="R139" s="238" t="s">
        <v>181</v>
      </c>
      <c r="S139" s="236">
        <v>1</v>
      </c>
      <c r="T139" s="236">
        <v>16</v>
      </c>
      <c r="U139" s="236">
        <v>16</v>
      </c>
      <c r="V139" s="236"/>
      <c r="W139" s="236">
        <v>0</v>
      </c>
      <c r="X139" s="236">
        <v>0</v>
      </c>
      <c r="Y139" s="236">
        <v>0</v>
      </c>
      <c r="Z139" s="236">
        <v>16</v>
      </c>
      <c r="AA139" s="236">
        <v>0</v>
      </c>
      <c r="AB139" s="236">
        <v>0</v>
      </c>
      <c r="AC139" s="236">
        <v>0</v>
      </c>
      <c r="AD139" s="236" t="s">
        <v>145</v>
      </c>
      <c r="AE139" s="236">
        <v>0</v>
      </c>
      <c r="AF139" s="236" t="s">
        <v>208</v>
      </c>
      <c r="AG139" s="236">
        <v>0</v>
      </c>
      <c r="AH139" s="236">
        <v>1</v>
      </c>
      <c r="AI139" s="236"/>
      <c r="AJ139" s="236">
        <v>0</v>
      </c>
      <c r="AK139" s="236">
        <v>0</v>
      </c>
      <c r="AL139" s="236">
        <v>0</v>
      </c>
      <c r="AM139" s="236"/>
      <c r="AN139" s="236"/>
      <c r="AO139" s="236"/>
      <c r="AP139" s="236"/>
      <c r="AQ139" s="236">
        <v>555600015</v>
      </c>
      <c r="AR139" s="236" t="s">
        <v>193</v>
      </c>
      <c r="AS139" s="236" t="s">
        <v>193</v>
      </c>
      <c r="AT139" s="236" t="s">
        <v>180</v>
      </c>
      <c r="AU139" s="199"/>
      <c r="AV139" s="236"/>
      <c r="AW139" s="236"/>
    </row>
    <row r="140" spans="1:49" ht="30.75">
      <c r="A140" s="236" t="s">
        <v>169</v>
      </c>
      <c r="B140" s="236">
        <v>2155</v>
      </c>
      <c r="C140" s="236" t="s">
        <v>750</v>
      </c>
      <c r="D140" s="236"/>
      <c r="E140" s="236" t="s">
        <v>751</v>
      </c>
      <c r="F140" s="276" t="s">
        <v>54</v>
      </c>
      <c r="G140" s="276" t="s">
        <v>173</v>
      </c>
      <c r="H140" s="236" t="s">
        <v>270</v>
      </c>
      <c r="I140" s="199" t="s">
        <v>752</v>
      </c>
      <c r="J140" s="236" t="s">
        <v>463</v>
      </c>
      <c r="K140" s="236">
        <v>45</v>
      </c>
      <c r="L140" s="277" t="s">
        <v>190</v>
      </c>
      <c r="M140" s="276">
        <v>2010</v>
      </c>
      <c r="N140" s="276">
        <v>2010</v>
      </c>
      <c r="O140" s="236" t="s">
        <v>193</v>
      </c>
      <c r="P140" s="236" t="s">
        <v>199</v>
      </c>
      <c r="Q140" s="236" t="s">
        <v>199</v>
      </c>
      <c r="R140" s="238" t="s">
        <v>181</v>
      </c>
      <c r="S140" s="236">
        <v>1</v>
      </c>
      <c r="T140" s="236">
        <v>45</v>
      </c>
      <c r="U140" s="236">
        <v>45</v>
      </c>
      <c r="V140" s="236"/>
      <c r="W140" s="236">
        <v>0</v>
      </c>
      <c r="X140" s="236">
        <v>0</v>
      </c>
      <c r="Y140" s="236">
        <v>0</v>
      </c>
      <c r="Z140" s="236">
        <v>45</v>
      </c>
      <c r="AA140" s="236">
        <v>0</v>
      </c>
      <c r="AB140" s="236">
        <v>0</v>
      </c>
      <c r="AC140" s="236">
        <v>0</v>
      </c>
      <c r="AD140" s="236" t="s">
        <v>145</v>
      </c>
      <c r="AE140" s="236">
        <v>0</v>
      </c>
      <c r="AF140" s="236" t="s">
        <v>208</v>
      </c>
      <c r="AG140" s="236">
        <v>0</v>
      </c>
      <c r="AH140" s="236">
        <v>1</v>
      </c>
      <c r="AI140" s="236"/>
      <c r="AJ140" s="236">
        <v>0</v>
      </c>
      <c r="AK140" s="236">
        <v>0</v>
      </c>
      <c r="AL140" s="236">
        <v>0</v>
      </c>
      <c r="AM140" s="236"/>
      <c r="AN140" s="236"/>
      <c r="AO140" s="236"/>
      <c r="AP140" s="236"/>
      <c r="AQ140" s="236">
        <v>555600039</v>
      </c>
      <c r="AR140" s="236" t="s">
        <v>193</v>
      </c>
      <c r="AS140" s="236" t="s">
        <v>193</v>
      </c>
      <c r="AT140" s="236" t="s">
        <v>180</v>
      </c>
      <c r="AU140" s="199"/>
      <c r="AV140" s="236"/>
      <c r="AW140" s="236"/>
    </row>
    <row r="141" spans="1:49" ht="30.75">
      <c r="A141" s="236" t="s">
        <v>169</v>
      </c>
      <c r="B141" s="236">
        <v>2160</v>
      </c>
      <c r="C141" s="236" t="s">
        <v>753</v>
      </c>
      <c r="D141" s="236"/>
      <c r="E141" s="236" t="s">
        <v>754</v>
      </c>
      <c r="F141" s="276" t="s">
        <v>54</v>
      </c>
      <c r="G141" s="276" t="s">
        <v>173</v>
      </c>
      <c r="H141" s="236" t="s">
        <v>270</v>
      </c>
      <c r="I141" s="205" t="s">
        <v>755</v>
      </c>
      <c r="J141" s="236" t="s">
        <v>710</v>
      </c>
      <c r="K141" s="236">
        <v>31.86</v>
      </c>
      <c r="L141" s="277" t="s">
        <v>190</v>
      </c>
      <c r="M141" s="276">
        <v>2010</v>
      </c>
      <c r="N141" s="276">
        <v>2010</v>
      </c>
      <c r="O141" s="236" t="s">
        <v>193</v>
      </c>
      <c r="P141" s="236" t="s">
        <v>199</v>
      </c>
      <c r="Q141" s="236" t="s">
        <v>199</v>
      </c>
      <c r="R141" s="238" t="s">
        <v>181</v>
      </c>
      <c r="S141" s="236">
        <v>1</v>
      </c>
      <c r="T141" s="236">
        <v>32</v>
      </c>
      <c r="U141" s="236">
        <v>32</v>
      </c>
      <c r="V141" s="236"/>
      <c r="W141" s="236">
        <v>0</v>
      </c>
      <c r="X141" s="236">
        <v>0</v>
      </c>
      <c r="Y141" s="236">
        <v>0</v>
      </c>
      <c r="Z141" s="236">
        <v>32</v>
      </c>
      <c r="AA141" s="236">
        <v>0</v>
      </c>
      <c r="AB141" s="236">
        <v>0</v>
      </c>
      <c r="AC141" s="236">
        <v>0</v>
      </c>
      <c r="AD141" s="236" t="s">
        <v>145</v>
      </c>
      <c r="AE141" s="236">
        <v>0</v>
      </c>
      <c r="AF141" s="236" t="s">
        <v>208</v>
      </c>
      <c r="AG141" s="236">
        <v>0</v>
      </c>
      <c r="AH141" s="236">
        <v>1</v>
      </c>
      <c r="AI141" s="236"/>
      <c r="AJ141" s="236">
        <v>0</v>
      </c>
      <c r="AK141" s="236">
        <v>0</v>
      </c>
      <c r="AL141" s="236">
        <v>0</v>
      </c>
      <c r="AM141" s="236"/>
      <c r="AN141" s="236"/>
      <c r="AO141" s="236"/>
      <c r="AP141" s="236"/>
      <c r="AQ141" s="236">
        <v>555600174</v>
      </c>
      <c r="AR141" s="236" t="s">
        <v>193</v>
      </c>
      <c r="AS141" s="236" t="s">
        <v>193</v>
      </c>
      <c r="AT141" s="236" t="s">
        <v>180</v>
      </c>
      <c r="AU141" s="206"/>
      <c r="AV141" s="236"/>
      <c r="AW141" s="236"/>
    </row>
    <row r="142" spans="1:49" ht="30.75">
      <c r="A142" s="236" t="s">
        <v>169</v>
      </c>
      <c r="B142" s="236">
        <v>2214</v>
      </c>
      <c r="C142" s="236" t="s">
        <v>756</v>
      </c>
      <c r="D142" s="236"/>
      <c r="E142" s="236" t="s">
        <v>757</v>
      </c>
      <c r="F142" s="276" t="s">
        <v>54</v>
      </c>
      <c r="G142" s="276" t="s">
        <v>173</v>
      </c>
      <c r="H142" s="236" t="s">
        <v>270</v>
      </c>
      <c r="I142" s="199" t="s">
        <v>758</v>
      </c>
      <c r="J142" s="236" t="s">
        <v>759</v>
      </c>
      <c r="K142" s="236">
        <v>316.05</v>
      </c>
      <c r="L142" s="277" t="s">
        <v>190</v>
      </c>
      <c r="M142" s="276">
        <v>2010</v>
      </c>
      <c r="N142" s="276">
        <v>2010</v>
      </c>
      <c r="O142" s="236" t="s">
        <v>193</v>
      </c>
      <c r="P142" s="236" t="s">
        <v>199</v>
      </c>
      <c r="Q142" s="236" t="s">
        <v>199</v>
      </c>
      <c r="R142" s="238" t="s">
        <v>181</v>
      </c>
      <c r="S142" s="236">
        <v>1</v>
      </c>
      <c r="T142" s="236">
        <v>317</v>
      </c>
      <c r="U142" s="236">
        <v>317</v>
      </c>
      <c r="V142" s="236"/>
      <c r="W142" s="236">
        <v>0</v>
      </c>
      <c r="X142" s="236">
        <v>0</v>
      </c>
      <c r="Y142" s="236">
        <v>0</v>
      </c>
      <c r="Z142" s="236">
        <v>317</v>
      </c>
      <c r="AA142" s="236">
        <v>0</v>
      </c>
      <c r="AB142" s="236">
        <v>0</v>
      </c>
      <c r="AC142" s="236">
        <v>0</v>
      </c>
      <c r="AD142" s="236" t="s">
        <v>145</v>
      </c>
      <c r="AE142" s="236">
        <v>0</v>
      </c>
      <c r="AF142" s="236" t="s">
        <v>208</v>
      </c>
      <c r="AG142" s="236">
        <v>0</v>
      </c>
      <c r="AH142" s="236">
        <v>1</v>
      </c>
      <c r="AI142" s="236"/>
      <c r="AJ142" s="236">
        <v>0</v>
      </c>
      <c r="AK142" s="236">
        <v>0</v>
      </c>
      <c r="AL142" s="236">
        <v>0</v>
      </c>
      <c r="AM142" s="236"/>
      <c r="AN142" s="236"/>
      <c r="AO142" s="236"/>
      <c r="AP142" s="236"/>
      <c r="AQ142" s="236">
        <v>555600185</v>
      </c>
      <c r="AR142" s="236" t="s">
        <v>193</v>
      </c>
      <c r="AS142" s="236" t="s">
        <v>193</v>
      </c>
      <c r="AT142" s="236" t="s">
        <v>180</v>
      </c>
      <c r="AU142" s="199"/>
      <c r="AV142" s="236"/>
      <c r="AW142" s="236"/>
    </row>
    <row r="143" spans="1:49" ht="30.75">
      <c r="A143" s="236" t="s">
        <v>169</v>
      </c>
      <c r="B143" s="236">
        <v>2218</v>
      </c>
      <c r="C143" s="236" t="s">
        <v>760</v>
      </c>
      <c r="D143" s="236"/>
      <c r="E143" s="236" t="s">
        <v>761</v>
      </c>
      <c r="F143" s="276" t="s">
        <v>54</v>
      </c>
      <c r="G143" s="276" t="s">
        <v>173</v>
      </c>
      <c r="H143" s="236" t="s">
        <v>270</v>
      </c>
      <c r="I143" s="205" t="s">
        <v>762</v>
      </c>
      <c r="J143" s="236" t="s">
        <v>710</v>
      </c>
      <c r="K143" s="236">
        <v>36.299999999999997</v>
      </c>
      <c r="L143" s="277" t="s">
        <v>190</v>
      </c>
      <c r="M143" s="276">
        <v>2010</v>
      </c>
      <c r="N143" s="276">
        <v>2010</v>
      </c>
      <c r="O143" s="236" t="s">
        <v>193</v>
      </c>
      <c r="P143" s="236" t="s">
        <v>199</v>
      </c>
      <c r="Q143" s="236" t="s">
        <v>199</v>
      </c>
      <c r="R143" s="238" t="s">
        <v>181</v>
      </c>
      <c r="S143" s="236">
        <v>1</v>
      </c>
      <c r="T143" s="236">
        <v>36</v>
      </c>
      <c r="U143" s="236">
        <v>36</v>
      </c>
      <c r="V143" s="236"/>
      <c r="W143" s="236">
        <v>0</v>
      </c>
      <c r="X143" s="236">
        <v>0</v>
      </c>
      <c r="Y143" s="236">
        <v>0</v>
      </c>
      <c r="Z143" s="236">
        <v>36</v>
      </c>
      <c r="AA143" s="236">
        <v>0</v>
      </c>
      <c r="AB143" s="236">
        <v>0</v>
      </c>
      <c r="AC143" s="236">
        <v>0</v>
      </c>
      <c r="AD143" s="236" t="s">
        <v>145</v>
      </c>
      <c r="AE143" s="236">
        <v>0</v>
      </c>
      <c r="AF143" s="236" t="s">
        <v>208</v>
      </c>
      <c r="AG143" s="236">
        <v>0</v>
      </c>
      <c r="AH143" s="236">
        <v>1</v>
      </c>
      <c r="AI143" s="236"/>
      <c r="AJ143" s="236">
        <v>0</v>
      </c>
      <c r="AK143" s="236">
        <v>0</v>
      </c>
      <c r="AL143" s="236">
        <v>0</v>
      </c>
      <c r="AM143" s="236"/>
      <c r="AN143" s="236"/>
      <c r="AO143" s="236"/>
      <c r="AP143" s="236"/>
      <c r="AQ143" s="236">
        <v>555600060</v>
      </c>
      <c r="AR143" s="236" t="s">
        <v>193</v>
      </c>
      <c r="AS143" s="236" t="s">
        <v>193</v>
      </c>
      <c r="AT143" s="236" t="s">
        <v>180</v>
      </c>
      <c r="AU143" s="206"/>
      <c r="AV143" s="236"/>
      <c r="AW143" s="236"/>
    </row>
    <row r="144" spans="1:49" s="240" customFormat="1">
      <c r="A144" s="236" t="s">
        <v>235</v>
      </c>
      <c r="B144" s="198">
        <v>1865</v>
      </c>
      <c r="C144" s="213">
        <v>820421865</v>
      </c>
      <c r="D144" s="236"/>
      <c r="E144" s="199" t="s">
        <v>763</v>
      </c>
      <c r="F144" s="276" t="s">
        <v>764</v>
      </c>
      <c r="G144" s="276" t="s">
        <v>173</v>
      </c>
      <c r="H144" s="236" t="s">
        <v>316</v>
      </c>
      <c r="I144" s="199" t="s">
        <v>765</v>
      </c>
      <c r="J144" s="199" t="s">
        <v>766</v>
      </c>
      <c r="K144" s="216">
        <v>16594.169999999998</v>
      </c>
      <c r="L144" s="277" t="s">
        <v>190</v>
      </c>
      <c r="M144" s="197">
        <v>2006</v>
      </c>
      <c r="N144" s="197"/>
      <c r="O144" s="197"/>
      <c r="P144" s="276" t="s">
        <v>620</v>
      </c>
      <c r="Q144" s="276"/>
      <c r="R144" s="277"/>
      <c r="S144" s="276"/>
      <c r="T144" s="276"/>
      <c r="U144" s="276"/>
      <c r="V144" s="217"/>
      <c r="W144" s="217"/>
      <c r="X144" s="217"/>
      <c r="Y144" s="217"/>
      <c r="Z144" s="216"/>
      <c r="AA144" s="216"/>
      <c r="AB144" s="216"/>
      <c r="AC144" s="216"/>
      <c r="AD144" s="216"/>
      <c r="AE144" s="216"/>
      <c r="AF144" s="216"/>
      <c r="AG144" s="216"/>
      <c r="AH144" s="216"/>
      <c r="AI144" s="216"/>
      <c r="AJ144" s="216"/>
      <c r="AK144" s="216"/>
      <c r="AL144" s="216"/>
      <c r="AM144" s="216"/>
      <c r="AN144" s="216"/>
      <c r="AO144" s="216"/>
      <c r="AP144" s="216"/>
      <c r="AQ144" s="216"/>
      <c r="AR144" s="236" t="s">
        <v>193</v>
      </c>
      <c r="AS144" s="236" t="s">
        <v>193</v>
      </c>
      <c r="AT144" s="236"/>
      <c r="AU144" s="199"/>
      <c r="AV144" s="236"/>
      <c r="AW144" s="236"/>
    </row>
    <row r="145" spans="1:49" s="240" customFormat="1">
      <c r="A145" s="276" t="s">
        <v>235</v>
      </c>
      <c r="B145" s="276"/>
      <c r="C145" s="276"/>
      <c r="D145" s="276"/>
      <c r="E145" s="276" t="s">
        <v>767</v>
      </c>
      <c r="F145" s="276" t="s">
        <v>172</v>
      </c>
      <c r="G145" s="276" t="s">
        <v>116</v>
      </c>
      <c r="H145" s="236" t="s">
        <v>270</v>
      </c>
      <c r="I145" s="276" t="s">
        <v>768</v>
      </c>
      <c r="J145" s="276" t="s">
        <v>769</v>
      </c>
      <c r="K145" s="276">
        <v>88.4</v>
      </c>
      <c r="L145" s="277" t="s">
        <v>190</v>
      </c>
      <c r="M145" s="276">
        <v>2024</v>
      </c>
      <c r="N145" s="276"/>
      <c r="O145" s="276"/>
      <c r="P145" s="276" t="s">
        <v>319</v>
      </c>
      <c r="Q145" s="276"/>
      <c r="R145" s="277"/>
      <c r="S145" s="276"/>
      <c r="T145" s="276"/>
      <c r="U145" s="276"/>
      <c r="V145" s="276"/>
      <c r="W145" s="276">
        <v>0</v>
      </c>
      <c r="X145" s="276">
        <v>0</v>
      </c>
      <c r="Y145" s="276">
        <v>0</v>
      </c>
      <c r="Z145" s="276"/>
      <c r="AA145" s="276">
        <v>0</v>
      </c>
      <c r="AB145" s="276">
        <v>0</v>
      </c>
      <c r="AC145" s="276"/>
      <c r="AD145" s="276"/>
      <c r="AE145" s="276"/>
      <c r="AF145" s="276"/>
      <c r="AG145" s="276"/>
      <c r="AH145" s="276"/>
      <c r="AI145" s="276"/>
      <c r="AJ145" s="276"/>
      <c r="AK145" s="276"/>
      <c r="AL145" s="276"/>
      <c r="AM145" s="276"/>
      <c r="AN145" s="276"/>
      <c r="AO145" s="276"/>
      <c r="AP145" s="276"/>
      <c r="AQ145" s="276"/>
      <c r="AR145" s="276"/>
      <c r="AS145" s="276"/>
      <c r="AT145" s="276" t="s">
        <v>319</v>
      </c>
      <c r="AU145" s="276"/>
      <c r="AV145" s="251" t="s">
        <v>770</v>
      </c>
      <c r="AW145" s="236"/>
    </row>
    <row r="146" spans="1:49" s="240" customFormat="1" ht="30.75">
      <c r="A146" s="276" t="s">
        <v>169</v>
      </c>
      <c r="B146" s="236">
        <v>2261</v>
      </c>
      <c r="C146" s="236" t="s">
        <v>771</v>
      </c>
      <c r="D146" s="276"/>
      <c r="E146" s="276" t="s">
        <v>772</v>
      </c>
      <c r="F146" s="276" t="s">
        <v>172</v>
      </c>
      <c r="G146" s="276" t="s">
        <v>116</v>
      </c>
      <c r="H146" s="236" t="s">
        <v>174</v>
      </c>
      <c r="I146" s="276" t="s">
        <v>773</v>
      </c>
      <c r="J146" s="236" t="s">
        <v>774</v>
      </c>
      <c r="K146" s="276">
        <v>509.64</v>
      </c>
      <c r="L146" s="277" t="s">
        <v>190</v>
      </c>
      <c r="M146" s="276">
        <v>2010</v>
      </c>
      <c r="N146" s="276">
        <v>2010</v>
      </c>
      <c r="O146" s="236" t="s">
        <v>193</v>
      </c>
      <c r="P146" s="276" t="s">
        <v>775</v>
      </c>
      <c r="Q146" s="236" t="s">
        <v>121</v>
      </c>
      <c r="R146" s="277" t="s">
        <v>776</v>
      </c>
      <c r="S146" s="236">
        <v>1</v>
      </c>
      <c r="T146" s="236">
        <v>509</v>
      </c>
      <c r="U146" s="236">
        <v>509</v>
      </c>
      <c r="V146" s="236"/>
      <c r="W146" s="236">
        <v>0</v>
      </c>
      <c r="X146" s="236">
        <v>0</v>
      </c>
      <c r="Y146" s="236">
        <v>0</v>
      </c>
      <c r="Z146" s="236">
        <v>509</v>
      </c>
      <c r="AA146" s="236">
        <v>0</v>
      </c>
      <c r="AB146" s="236">
        <v>0</v>
      </c>
      <c r="AC146" s="236">
        <v>0</v>
      </c>
      <c r="AD146" s="236" t="s">
        <v>145</v>
      </c>
      <c r="AE146" s="236">
        <v>0</v>
      </c>
      <c r="AF146" s="236" t="s">
        <v>182</v>
      </c>
      <c r="AG146" s="236">
        <v>1</v>
      </c>
      <c r="AH146" s="236">
        <v>0</v>
      </c>
      <c r="AI146" s="236"/>
      <c r="AJ146" s="236">
        <v>0</v>
      </c>
      <c r="AK146" s="236">
        <v>0</v>
      </c>
      <c r="AL146" s="236">
        <v>0</v>
      </c>
      <c r="AM146" s="236"/>
      <c r="AN146" s="236"/>
      <c r="AO146" s="236"/>
      <c r="AP146" s="236"/>
      <c r="AQ146" s="236">
        <v>555576261</v>
      </c>
      <c r="AR146" s="276"/>
      <c r="AS146" s="276"/>
      <c r="AT146" s="276" t="s">
        <v>180</v>
      </c>
      <c r="AU146" s="250" t="s">
        <v>777</v>
      </c>
      <c r="AV146" s="276"/>
      <c r="AW146" s="236"/>
    </row>
    <row r="147" spans="1:49" ht="30.75">
      <c r="A147" s="236" t="s">
        <v>169</v>
      </c>
      <c r="B147" s="236">
        <v>2094</v>
      </c>
      <c r="C147" s="236" t="s">
        <v>778</v>
      </c>
      <c r="D147" s="236"/>
      <c r="E147" s="236" t="s">
        <v>779</v>
      </c>
      <c r="F147" s="276" t="s">
        <v>54</v>
      </c>
      <c r="G147" s="276" t="s">
        <v>173</v>
      </c>
      <c r="H147" s="236" t="s">
        <v>270</v>
      </c>
      <c r="I147" s="205" t="s">
        <v>780</v>
      </c>
      <c r="J147" s="236" t="s">
        <v>710</v>
      </c>
      <c r="K147" s="236">
        <v>55.73</v>
      </c>
      <c r="L147" s="277" t="s">
        <v>190</v>
      </c>
      <c r="M147" s="276">
        <v>2011</v>
      </c>
      <c r="N147" s="276">
        <v>2011</v>
      </c>
      <c r="O147" s="236" t="s">
        <v>193</v>
      </c>
      <c r="P147" s="236" t="s">
        <v>199</v>
      </c>
      <c r="Q147" s="236" t="s">
        <v>199</v>
      </c>
      <c r="R147" s="238" t="s">
        <v>181</v>
      </c>
      <c r="S147" s="236">
        <v>1</v>
      </c>
      <c r="T147" s="236">
        <v>56</v>
      </c>
      <c r="U147" s="236">
        <v>56</v>
      </c>
      <c r="V147" s="236"/>
      <c r="W147" s="236">
        <v>0</v>
      </c>
      <c r="X147" s="236">
        <v>0</v>
      </c>
      <c r="Y147" s="236">
        <v>0</v>
      </c>
      <c r="Z147" s="236">
        <v>56</v>
      </c>
      <c r="AA147" s="236">
        <v>0</v>
      </c>
      <c r="AB147" s="236">
        <v>0</v>
      </c>
      <c r="AC147" s="236">
        <v>0</v>
      </c>
      <c r="AD147" s="236" t="s">
        <v>145</v>
      </c>
      <c r="AE147" s="236">
        <v>0</v>
      </c>
      <c r="AF147" s="236" t="s">
        <v>208</v>
      </c>
      <c r="AG147" s="236">
        <v>0</v>
      </c>
      <c r="AH147" s="236">
        <v>1</v>
      </c>
      <c r="AI147" s="236"/>
      <c r="AJ147" s="236">
        <v>0</v>
      </c>
      <c r="AK147" s="236">
        <v>0</v>
      </c>
      <c r="AL147" s="236">
        <v>0</v>
      </c>
      <c r="AM147" s="236"/>
      <c r="AN147" s="236"/>
      <c r="AO147" s="236"/>
      <c r="AP147" s="236"/>
      <c r="AQ147" s="236">
        <v>555600171</v>
      </c>
      <c r="AR147" s="236" t="s">
        <v>193</v>
      </c>
      <c r="AS147" s="236" t="s">
        <v>193</v>
      </c>
      <c r="AT147" s="236" t="s">
        <v>180</v>
      </c>
      <c r="AU147" s="206"/>
      <c r="AV147" s="236"/>
      <c r="AW147" s="236"/>
    </row>
    <row r="148" spans="1:49" ht="30.75">
      <c r="A148" s="236" t="s">
        <v>169</v>
      </c>
      <c r="B148" s="236">
        <v>2711</v>
      </c>
      <c r="C148" s="236" t="s">
        <v>781</v>
      </c>
      <c r="D148" s="236"/>
      <c r="E148" s="236" t="s">
        <v>782</v>
      </c>
      <c r="F148" s="276" t="s">
        <v>54</v>
      </c>
      <c r="G148" s="276" t="s">
        <v>173</v>
      </c>
      <c r="H148" s="236" t="s">
        <v>270</v>
      </c>
      <c r="I148" s="199" t="s">
        <v>783</v>
      </c>
      <c r="J148" s="236" t="s">
        <v>676</v>
      </c>
      <c r="K148" s="236">
        <v>4018.77</v>
      </c>
      <c r="L148" s="277" t="s">
        <v>190</v>
      </c>
      <c r="M148" s="276">
        <v>2011</v>
      </c>
      <c r="N148" s="276">
        <v>2011</v>
      </c>
      <c r="O148" s="236" t="s">
        <v>193</v>
      </c>
      <c r="P148" s="236" t="s">
        <v>199</v>
      </c>
      <c r="Q148" s="236" t="s">
        <v>199</v>
      </c>
      <c r="R148" s="238" t="s">
        <v>181</v>
      </c>
      <c r="S148" s="236">
        <v>1</v>
      </c>
      <c r="T148" s="237">
        <v>4020</v>
      </c>
      <c r="U148" s="237">
        <v>4020</v>
      </c>
      <c r="V148" s="236"/>
      <c r="W148" s="236">
        <v>0</v>
      </c>
      <c r="X148" s="236">
        <v>0</v>
      </c>
      <c r="Y148" s="236">
        <v>0</v>
      </c>
      <c r="Z148" s="237">
        <v>4020</v>
      </c>
      <c r="AA148" s="236">
        <v>0</v>
      </c>
      <c r="AB148" s="236">
        <v>0</v>
      </c>
      <c r="AC148" s="236">
        <v>0</v>
      </c>
      <c r="AD148" s="236" t="s">
        <v>145</v>
      </c>
      <c r="AE148" s="236">
        <v>0</v>
      </c>
      <c r="AF148" s="236" t="s">
        <v>208</v>
      </c>
      <c r="AG148" s="236">
        <v>0</v>
      </c>
      <c r="AH148" s="236">
        <v>1</v>
      </c>
      <c r="AI148" s="236"/>
      <c r="AJ148" s="236">
        <v>0</v>
      </c>
      <c r="AK148" s="236">
        <v>0</v>
      </c>
      <c r="AL148" s="236">
        <v>0</v>
      </c>
      <c r="AM148" s="236"/>
      <c r="AN148" s="236"/>
      <c r="AO148" s="236"/>
      <c r="AP148" s="236"/>
      <c r="AQ148" s="236">
        <v>555600087</v>
      </c>
      <c r="AR148" s="236" t="s">
        <v>193</v>
      </c>
      <c r="AS148" s="236" t="s">
        <v>193</v>
      </c>
      <c r="AT148" s="236" t="s">
        <v>180</v>
      </c>
      <c r="AU148" s="199"/>
      <c r="AV148" s="236"/>
      <c r="AW148" s="236"/>
    </row>
    <row r="149" spans="1:49" ht="30.75">
      <c r="A149" s="236" t="s">
        <v>169</v>
      </c>
      <c r="B149" s="236">
        <v>2739</v>
      </c>
      <c r="C149" s="236" t="s">
        <v>784</v>
      </c>
      <c r="D149" s="236"/>
      <c r="E149" s="236" t="s">
        <v>785</v>
      </c>
      <c r="F149" s="276" t="s">
        <v>54</v>
      </c>
      <c r="G149" s="276" t="s">
        <v>173</v>
      </c>
      <c r="H149" s="236" t="s">
        <v>270</v>
      </c>
      <c r="I149" s="199" t="s">
        <v>786</v>
      </c>
      <c r="J149" s="236" t="s">
        <v>684</v>
      </c>
      <c r="K149" s="236">
        <v>3.64</v>
      </c>
      <c r="L149" s="277" t="s">
        <v>190</v>
      </c>
      <c r="M149" s="276">
        <v>2011</v>
      </c>
      <c r="N149" s="276">
        <v>2011</v>
      </c>
      <c r="O149" s="236" t="s">
        <v>193</v>
      </c>
      <c r="P149" s="236" t="s">
        <v>199</v>
      </c>
      <c r="Q149" s="236" t="s">
        <v>199</v>
      </c>
      <c r="R149" s="238" t="s">
        <v>181</v>
      </c>
      <c r="S149" s="236">
        <v>1</v>
      </c>
      <c r="T149" s="236">
        <v>4</v>
      </c>
      <c r="U149" s="236">
        <v>4</v>
      </c>
      <c r="V149" s="236"/>
      <c r="W149" s="236">
        <v>0</v>
      </c>
      <c r="X149" s="236">
        <v>0</v>
      </c>
      <c r="Y149" s="236">
        <v>0</v>
      </c>
      <c r="Z149" s="236">
        <v>4</v>
      </c>
      <c r="AA149" s="236">
        <v>0</v>
      </c>
      <c r="AB149" s="236">
        <v>0</v>
      </c>
      <c r="AC149" s="236">
        <v>0</v>
      </c>
      <c r="AD149" s="236" t="s">
        <v>145</v>
      </c>
      <c r="AE149" s="236">
        <v>0</v>
      </c>
      <c r="AF149" s="236" t="s">
        <v>208</v>
      </c>
      <c r="AG149" s="236">
        <v>0</v>
      </c>
      <c r="AH149" s="236">
        <v>1</v>
      </c>
      <c r="AI149" s="236"/>
      <c r="AJ149" s="236">
        <v>0</v>
      </c>
      <c r="AK149" s="236">
        <v>0</v>
      </c>
      <c r="AL149" s="236">
        <v>0</v>
      </c>
      <c r="AM149" s="236"/>
      <c r="AN149" s="236"/>
      <c r="AO149" s="236"/>
      <c r="AP149" s="236"/>
      <c r="AQ149" s="236">
        <v>555600192</v>
      </c>
      <c r="AR149" s="236" t="s">
        <v>193</v>
      </c>
      <c r="AS149" s="236" t="s">
        <v>193</v>
      </c>
      <c r="AT149" s="236" t="s">
        <v>180</v>
      </c>
      <c r="AU149" s="199"/>
      <c r="AV149" s="236"/>
      <c r="AW149" s="236"/>
    </row>
    <row r="150" spans="1:49" s="240" customFormat="1">
      <c r="A150" s="276" t="s">
        <v>169</v>
      </c>
      <c r="B150" s="236">
        <v>2876</v>
      </c>
      <c r="C150" s="236" t="s">
        <v>787</v>
      </c>
      <c r="D150" s="276"/>
      <c r="E150" s="276" t="s">
        <v>788</v>
      </c>
      <c r="F150" s="276" t="s">
        <v>54</v>
      </c>
      <c r="G150" s="197" t="s">
        <v>220</v>
      </c>
      <c r="H150" s="236" t="s">
        <v>270</v>
      </c>
      <c r="I150" s="197" t="s">
        <v>789</v>
      </c>
      <c r="J150" s="236" t="s">
        <v>790</v>
      </c>
      <c r="K150" s="276">
        <v>15</v>
      </c>
      <c r="L150" s="277" t="s">
        <v>190</v>
      </c>
      <c r="M150" s="276">
        <v>2011</v>
      </c>
      <c r="N150" s="236">
        <v>2011</v>
      </c>
      <c r="O150" s="236" t="s">
        <v>193</v>
      </c>
      <c r="P150" s="276" t="s">
        <v>180</v>
      </c>
      <c r="Q150" s="236" t="s">
        <v>199</v>
      </c>
      <c r="R150" s="277"/>
      <c r="S150" s="236">
        <v>1</v>
      </c>
      <c r="T150" s="236">
        <v>15</v>
      </c>
      <c r="U150" s="236">
        <v>15</v>
      </c>
      <c r="V150" s="236"/>
      <c r="W150" s="236">
        <v>0</v>
      </c>
      <c r="X150" s="236">
        <v>0</v>
      </c>
      <c r="Y150" s="236">
        <v>0</v>
      </c>
      <c r="Z150" s="236">
        <v>15</v>
      </c>
      <c r="AA150" s="236">
        <v>0</v>
      </c>
      <c r="AB150" s="236">
        <v>0</v>
      </c>
      <c r="AC150" s="236">
        <v>0</v>
      </c>
      <c r="AD150" s="236" t="s">
        <v>145</v>
      </c>
      <c r="AE150" s="236">
        <v>0</v>
      </c>
      <c r="AF150" s="236" t="s">
        <v>208</v>
      </c>
      <c r="AG150" s="236">
        <v>0</v>
      </c>
      <c r="AH150" s="236">
        <v>1</v>
      </c>
      <c r="AI150" s="236"/>
      <c r="AJ150" s="236">
        <v>0</v>
      </c>
      <c r="AK150" s="236">
        <v>0</v>
      </c>
      <c r="AL150" s="236">
        <v>0</v>
      </c>
      <c r="AM150" s="236"/>
      <c r="AN150" s="236"/>
      <c r="AO150" s="236"/>
      <c r="AP150" s="236"/>
      <c r="AQ150" s="236">
        <v>555599999</v>
      </c>
      <c r="AR150" s="276" t="s">
        <v>791</v>
      </c>
      <c r="AS150" s="276"/>
      <c r="AT150" s="276" t="s">
        <v>180</v>
      </c>
      <c r="AU150" s="250" t="s">
        <v>792</v>
      </c>
      <c r="AV150" s="276"/>
      <c r="AW150" s="236"/>
    </row>
    <row r="151" spans="1:49" s="240" customFormat="1" ht="30.75">
      <c r="A151" s="276" t="s">
        <v>169</v>
      </c>
      <c r="B151" s="236">
        <v>2049</v>
      </c>
      <c r="C151" s="236" t="s">
        <v>793</v>
      </c>
      <c r="D151" s="276"/>
      <c r="E151" s="276" t="s">
        <v>794</v>
      </c>
      <c r="F151" s="276" t="s">
        <v>172</v>
      </c>
      <c r="G151" s="276" t="s">
        <v>116</v>
      </c>
      <c r="H151" s="236" t="s">
        <v>174</v>
      </c>
      <c r="I151" s="197" t="s">
        <v>795</v>
      </c>
      <c r="J151" s="236" t="s">
        <v>334</v>
      </c>
      <c r="K151" s="200">
        <v>39.76</v>
      </c>
      <c r="L151" s="277" t="s">
        <v>190</v>
      </c>
      <c r="M151" s="276">
        <v>2011</v>
      </c>
      <c r="N151" s="276">
        <v>2011</v>
      </c>
      <c r="O151" s="197" t="s">
        <v>193</v>
      </c>
      <c r="P151" s="236" t="s">
        <v>121</v>
      </c>
      <c r="Q151" s="276" t="s">
        <v>199</v>
      </c>
      <c r="R151" s="277" t="s">
        <v>796</v>
      </c>
      <c r="S151" s="212">
        <v>1</v>
      </c>
      <c r="T151" s="212">
        <v>52</v>
      </c>
      <c r="U151" s="212">
        <v>52</v>
      </c>
      <c r="V151" s="236"/>
      <c r="W151" s="236">
        <v>0</v>
      </c>
      <c r="X151" s="236">
        <v>0</v>
      </c>
      <c r="Y151" s="236">
        <v>0</v>
      </c>
      <c r="Z151" s="236">
        <v>52</v>
      </c>
      <c r="AA151" s="236">
        <v>0</v>
      </c>
      <c r="AB151" s="236">
        <v>0</v>
      </c>
      <c r="AC151" s="236">
        <v>0</v>
      </c>
      <c r="AD151" s="236" t="s">
        <v>145</v>
      </c>
      <c r="AE151" s="236">
        <v>0</v>
      </c>
      <c r="AF151" s="236" t="s">
        <v>182</v>
      </c>
      <c r="AG151" s="236">
        <v>1</v>
      </c>
      <c r="AH151" s="236">
        <v>0</v>
      </c>
      <c r="AI151" s="236"/>
      <c r="AJ151" s="236">
        <v>0</v>
      </c>
      <c r="AK151" s="236">
        <v>1</v>
      </c>
      <c r="AL151" s="236">
        <v>1</v>
      </c>
      <c r="AM151" s="236"/>
      <c r="AN151" s="236"/>
      <c r="AO151" s="236"/>
      <c r="AP151" s="236"/>
      <c r="AQ151" s="236">
        <v>555682455</v>
      </c>
      <c r="AR151" s="276"/>
      <c r="AS151" s="276"/>
      <c r="AT151" s="276" t="s">
        <v>180</v>
      </c>
      <c r="AU151" s="250" t="s">
        <v>797</v>
      </c>
      <c r="AV151" s="276"/>
      <c r="AW151" s="236"/>
    </row>
    <row r="152" spans="1:49" s="240" customFormat="1" ht="30.75">
      <c r="A152" s="276" t="s">
        <v>169</v>
      </c>
      <c r="B152" s="236">
        <v>2359</v>
      </c>
      <c r="C152" s="236" t="s">
        <v>798</v>
      </c>
      <c r="D152" s="276"/>
      <c r="E152" s="276" t="s">
        <v>799</v>
      </c>
      <c r="F152" s="276" t="s">
        <v>172</v>
      </c>
      <c r="G152" s="276" t="s">
        <v>116</v>
      </c>
      <c r="H152" s="236" t="s">
        <v>174</v>
      </c>
      <c r="I152" s="276" t="s">
        <v>800</v>
      </c>
      <c r="J152" s="236" t="s">
        <v>801</v>
      </c>
      <c r="K152" s="276">
        <v>14.712</v>
      </c>
      <c r="L152" s="277" t="s">
        <v>190</v>
      </c>
      <c r="M152" s="276">
        <v>2011</v>
      </c>
      <c r="N152" s="276">
        <v>2011</v>
      </c>
      <c r="O152" s="197" t="s">
        <v>193</v>
      </c>
      <c r="P152" s="276" t="s">
        <v>199</v>
      </c>
      <c r="Q152" s="276" t="s">
        <v>121</v>
      </c>
      <c r="R152" s="277" t="s">
        <v>802</v>
      </c>
      <c r="S152" s="236">
        <v>1</v>
      </c>
      <c r="T152" s="236">
        <v>14</v>
      </c>
      <c r="U152" s="236">
        <v>14</v>
      </c>
      <c r="V152" s="236"/>
      <c r="W152" s="236">
        <v>0</v>
      </c>
      <c r="X152" s="236">
        <v>0</v>
      </c>
      <c r="Y152" s="236">
        <v>0</v>
      </c>
      <c r="Z152" s="236">
        <v>14</v>
      </c>
      <c r="AA152" s="236">
        <v>0</v>
      </c>
      <c r="AB152" s="236">
        <v>0</v>
      </c>
      <c r="AC152" s="236">
        <v>0</v>
      </c>
      <c r="AD152" s="236" t="s">
        <v>145</v>
      </c>
      <c r="AE152" s="236">
        <v>0</v>
      </c>
      <c r="AF152" s="236" t="s">
        <v>182</v>
      </c>
      <c r="AG152" s="236">
        <v>1</v>
      </c>
      <c r="AH152" s="236">
        <v>0</v>
      </c>
      <c r="AI152" s="236"/>
      <c r="AJ152" s="236">
        <v>0</v>
      </c>
      <c r="AK152" s="236">
        <v>1</v>
      </c>
      <c r="AL152" s="236">
        <v>1</v>
      </c>
      <c r="AM152" s="236"/>
      <c r="AN152" s="236"/>
      <c r="AO152" s="236"/>
      <c r="AP152" s="236"/>
      <c r="AQ152" s="236">
        <v>555576235</v>
      </c>
      <c r="AR152" s="276"/>
      <c r="AS152" s="276"/>
      <c r="AT152" s="276" t="s">
        <v>180</v>
      </c>
      <c r="AU152" s="250" t="s">
        <v>803</v>
      </c>
      <c r="AV152" s="276"/>
      <c r="AW152" s="236"/>
    </row>
    <row r="153" spans="1:49" s="240" customFormat="1">
      <c r="A153" s="276" t="s">
        <v>169</v>
      </c>
      <c r="B153" s="236">
        <v>2340</v>
      </c>
      <c r="C153" s="236" t="s">
        <v>804</v>
      </c>
      <c r="D153" s="276"/>
      <c r="E153" s="276" t="s">
        <v>805</v>
      </c>
      <c r="F153" s="276" t="s">
        <v>172</v>
      </c>
      <c r="G153" s="276" t="s">
        <v>116</v>
      </c>
      <c r="H153" s="236" t="s">
        <v>174</v>
      </c>
      <c r="I153" s="276" t="s">
        <v>806</v>
      </c>
      <c r="J153" s="236" t="s">
        <v>807</v>
      </c>
      <c r="K153" s="276">
        <v>12.35</v>
      </c>
      <c r="L153" s="277" t="s">
        <v>190</v>
      </c>
      <c r="M153" s="276">
        <v>2011</v>
      </c>
      <c r="N153" s="276">
        <v>2011</v>
      </c>
      <c r="O153" s="197" t="s">
        <v>193</v>
      </c>
      <c r="P153" s="276" t="s">
        <v>199</v>
      </c>
      <c r="Q153" s="276" t="s">
        <v>199</v>
      </c>
      <c r="R153" s="277" t="s">
        <v>808</v>
      </c>
      <c r="S153" s="236">
        <v>1</v>
      </c>
      <c r="T153" s="236">
        <v>36.60256184</v>
      </c>
      <c r="U153" s="236">
        <v>36.60256184</v>
      </c>
      <c r="V153" s="236"/>
      <c r="W153" s="236">
        <v>0</v>
      </c>
      <c r="X153" s="236">
        <v>0</v>
      </c>
      <c r="Y153" s="236">
        <v>0</v>
      </c>
      <c r="Z153" s="236">
        <v>36.60256184</v>
      </c>
      <c r="AA153" s="236">
        <v>0</v>
      </c>
      <c r="AB153" s="236">
        <v>0</v>
      </c>
      <c r="AC153" s="236">
        <v>0</v>
      </c>
      <c r="AD153" s="236" t="s">
        <v>145</v>
      </c>
      <c r="AE153" s="236">
        <v>0</v>
      </c>
      <c r="AF153" s="236" t="s">
        <v>182</v>
      </c>
      <c r="AG153" s="236">
        <v>1</v>
      </c>
      <c r="AH153" s="236">
        <v>0</v>
      </c>
      <c r="AI153" s="236"/>
      <c r="AJ153" s="236">
        <v>0</v>
      </c>
      <c r="AK153" s="236">
        <v>0</v>
      </c>
      <c r="AL153" s="236">
        <v>0</v>
      </c>
      <c r="AM153" s="236"/>
      <c r="AN153" s="236"/>
      <c r="AO153" s="236"/>
      <c r="AP153" s="236"/>
      <c r="AQ153" s="236">
        <v>555576280</v>
      </c>
      <c r="AR153" s="276"/>
      <c r="AS153" s="276"/>
      <c r="AT153" s="276" t="s">
        <v>180</v>
      </c>
      <c r="AU153" s="250" t="s">
        <v>809</v>
      </c>
      <c r="AV153" s="248" t="s">
        <v>810</v>
      </c>
      <c r="AW153" s="236"/>
    </row>
    <row r="154" spans="1:49" s="240" customFormat="1">
      <c r="A154" s="276" t="s">
        <v>235</v>
      </c>
      <c r="B154" s="276"/>
      <c r="C154" s="276"/>
      <c r="D154" s="276"/>
      <c r="E154" s="276" t="s">
        <v>811</v>
      </c>
      <c r="F154" s="277" t="s">
        <v>257</v>
      </c>
      <c r="G154" s="276" t="s">
        <v>116</v>
      </c>
      <c r="H154" s="198" t="s">
        <v>258</v>
      </c>
      <c r="I154" s="276" t="s">
        <v>812</v>
      </c>
      <c r="J154" s="276" t="s">
        <v>813</v>
      </c>
      <c r="K154" s="276" t="s">
        <v>368</v>
      </c>
      <c r="L154" s="277" t="s">
        <v>190</v>
      </c>
      <c r="M154" s="276">
        <v>2004</v>
      </c>
      <c r="N154" s="276"/>
      <c r="O154" s="276"/>
      <c r="P154" s="276"/>
      <c r="Q154" s="276"/>
      <c r="R154" s="277"/>
      <c r="S154" s="276"/>
      <c r="T154" s="276"/>
      <c r="U154" s="276"/>
      <c r="V154" s="276"/>
      <c r="W154" s="276"/>
      <c r="X154" s="276"/>
      <c r="Y154" s="276"/>
      <c r="Z154" s="276"/>
      <c r="AA154" s="276"/>
      <c r="AB154" s="276"/>
      <c r="AC154" s="276"/>
      <c r="AD154" s="276"/>
      <c r="AE154" s="276"/>
      <c r="AF154" s="276"/>
      <c r="AG154" s="276"/>
      <c r="AH154" s="276"/>
      <c r="AI154" s="276"/>
      <c r="AJ154" s="276"/>
      <c r="AK154" s="276"/>
      <c r="AL154" s="276"/>
      <c r="AM154" s="276"/>
      <c r="AN154" s="276"/>
      <c r="AO154" s="276"/>
      <c r="AP154" s="276"/>
      <c r="AQ154" s="276"/>
      <c r="AR154" s="276"/>
      <c r="AS154" s="276"/>
      <c r="AT154" s="276"/>
      <c r="AU154" s="276"/>
      <c r="AV154" s="276"/>
      <c r="AW154" s="236"/>
    </row>
    <row r="155" spans="1:49">
      <c r="A155" s="276" t="s">
        <v>235</v>
      </c>
      <c r="B155" s="276"/>
      <c r="C155" s="276"/>
      <c r="D155" s="276"/>
      <c r="E155" s="197" t="s">
        <v>814</v>
      </c>
      <c r="F155" s="276" t="s">
        <v>229</v>
      </c>
      <c r="G155" s="276" t="s">
        <v>116</v>
      </c>
      <c r="H155" s="236" t="s">
        <v>270</v>
      </c>
      <c r="I155" s="197" t="s">
        <v>649</v>
      </c>
      <c r="J155" s="276" t="s">
        <v>815</v>
      </c>
      <c r="K155" s="276">
        <v>5</v>
      </c>
      <c r="L155" s="277" t="s">
        <v>190</v>
      </c>
      <c r="M155" s="197" t="s">
        <v>368</v>
      </c>
      <c r="N155" s="197"/>
      <c r="O155" s="197"/>
      <c r="P155" s="276"/>
      <c r="Q155" s="276"/>
      <c r="R155" s="277"/>
      <c r="S155" s="276"/>
      <c r="T155" s="276"/>
      <c r="U155" s="276"/>
      <c r="V155" s="276"/>
      <c r="W155" s="276"/>
      <c r="X155" s="276"/>
      <c r="Y155" s="276"/>
      <c r="Z155" s="276"/>
      <c r="AA155" s="276"/>
      <c r="AB155" s="276"/>
      <c r="AC155" s="276"/>
      <c r="AD155" s="276"/>
      <c r="AE155" s="276"/>
      <c r="AF155" s="276"/>
      <c r="AG155" s="276"/>
      <c r="AH155" s="276"/>
      <c r="AI155" s="276"/>
      <c r="AJ155" s="276"/>
      <c r="AK155" s="276"/>
      <c r="AL155" s="276"/>
      <c r="AM155" s="276"/>
      <c r="AN155" s="276"/>
      <c r="AO155" s="276"/>
      <c r="AP155" s="276"/>
      <c r="AQ155" s="276"/>
      <c r="AR155" s="276"/>
      <c r="AS155" s="276"/>
      <c r="AT155" s="276" t="s">
        <v>180</v>
      </c>
      <c r="AU155" s="197"/>
      <c r="AV155" s="251" t="s">
        <v>651</v>
      </c>
      <c r="AW155" s="236"/>
    </row>
    <row r="156" spans="1:49" ht="30.75">
      <c r="A156" s="276" t="s">
        <v>169</v>
      </c>
      <c r="B156" s="198">
        <v>2925</v>
      </c>
      <c r="C156" s="213">
        <v>910422925</v>
      </c>
      <c r="D156" s="276"/>
      <c r="E156" s="276" t="s">
        <v>816</v>
      </c>
      <c r="F156" s="276" t="s">
        <v>295</v>
      </c>
      <c r="G156" s="276" t="s">
        <v>116</v>
      </c>
      <c r="H156" s="236" t="s">
        <v>270</v>
      </c>
      <c r="I156" s="276" t="s">
        <v>817</v>
      </c>
      <c r="J156" s="276" t="s">
        <v>574</v>
      </c>
      <c r="K156" s="276">
        <v>525.55999999999995</v>
      </c>
      <c r="L156" s="277" t="s">
        <v>190</v>
      </c>
      <c r="M156" s="276">
        <v>2012</v>
      </c>
      <c r="N156" s="236">
        <v>2012</v>
      </c>
      <c r="O156" s="236" t="s">
        <v>193</v>
      </c>
      <c r="P156" s="276" t="s">
        <v>775</v>
      </c>
      <c r="Q156" s="276"/>
      <c r="R156" s="277" t="s">
        <v>288</v>
      </c>
      <c r="S156" s="236">
        <v>1</v>
      </c>
      <c r="T156" s="236">
        <v>498</v>
      </c>
      <c r="U156" s="236">
        <v>498</v>
      </c>
      <c r="V156" s="236"/>
      <c r="W156" s="236">
        <v>0</v>
      </c>
      <c r="X156" s="236">
        <v>0</v>
      </c>
      <c r="Y156" s="236">
        <v>0</v>
      </c>
      <c r="Z156" s="236">
        <v>498</v>
      </c>
      <c r="AA156" s="236">
        <v>0</v>
      </c>
      <c r="AB156" s="236">
        <v>0</v>
      </c>
      <c r="AC156" s="236">
        <v>0</v>
      </c>
      <c r="AD156" s="236" t="s">
        <v>145</v>
      </c>
      <c r="AE156" s="236">
        <v>0</v>
      </c>
      <c r="AF156" s="236" t="s">
        <v>208</v>
      </c>
      <c r="AG156" s="236">
        <v>0</v>
      </c>
      <c r="AH156" s="236">
        <v>1</v>
      </c>
      <c r="AI156" s="236"/>
      <c r="AJ156" s="236">
        <v>0</v>
      </c>
      <c r="AK156" s="236">
        <v>1</v>
      </c>
      <c r="AL156" s="236">
        <v>1</v>
      </c>
      <c r="AM156" s="276"/>
      <c r="AN156" s="276"/>
      <c r="AO156" s="276"/>
      <c r="AP156" s="276"/>
      <c r="AQ156" s="236">
        <v>555576451</v>
      </c>
      <c r="AR156" s="276"/>
      <c r="AS156" s="276"/>
      <c r="AT156" s="276"/>
      <c r="AU156" s="250" t="s">
        <v>818</v>
      </c>
      <c r="AV156" s="276"/>
      <c r="AW156" s="236"/>
    </row>
    <row r="157" spans="1:49" ht="30.75">
      <c r="A157" s="236" t="s">
        <v>169</v>
      </c>
      <c r="B157" s="236">
        <v>2715</v>
      </c>
      <c r="C157" s="236" t="s">
        <v>819</v>
      </c>
      <c r="D157" s="236"/>
      <c r="E157" s="236" t="s">
        <v>820</v>
      </c>
      <c r="F157" s="276" t="s">
        <v>54</v>
      </c>
      <c r="G157" s="276" t="s">
        <v>173</v>
      </c>
      <c r="H157" s="236" t="s">
        <v>270</v>
      </c>
      <c r="I157" s="205" t="s">
        <v>821</v>
      </c>
      <c r="J157" s="236" t="s">
        <v>710</v>
      </c>
      <c r="K157" s="236">
        <v>79.05</v>
      </c>
      <c r="L157" s="277" t="s">
        <v>190</v>
      </c>
      <c r="M157" s="276">
        <v>2012</v>
      </c>
      <c r="N157" s="276">
        <v>2012</v>
      </c>
      <c r="O157" s="236" t="s">
        <v>193</v>
      </c>
      <c r="P157" s="236" t="s">
        <v>199</v>
      </c>
      <c r="Q157" s="236" t="s">
        <v>199</v>
      </c>
      <c r="R157" s="238" t="s">
        <v>181</v>
      </c>
      <c r="S157" s="236">
        <v>1</v>
      </c>
      <c r="T157" s="236">
        <v>79</v>
      </c>
      <c r="U157" s="236">
        <v>79</v>
      </c>
      <c r="V157" s="236"/>
      <c r="W157" s="236">
        <v>0</v>
      </c>
      <c r="X157" s="236">
        <v>0</v>
      </c>
      <c r="Y157" s="236">
        <v>0</v>
      </c>
      <c r="Z157" s="236">
        <v>79</v>
      </c>
      <c r="AA157" s="236">
        <v>0</v>
      </c>
      <c r="AB157" s="236">
        <v>0</v>
      </c>
      <c r="AC157" s="236">
        <v>0</v>
      </c>
      <c r="AD157" s="236" t="s">
        <v>145</v>
      </c>
      <c r="AE157" s="236">
        <v>0</v>
      </c>
      <c r="AF157" s="236" t="s">
        <v>208</v>
      </c>
      <c r="AG157" s="236">
        <v>0</v>
      </c>
      <c r="AH157" s="236">
        <v>1</v>
      </c>
      <c r="AI157" s="236"/>
      <c r="AJ157" s="236">
        <v>0</v>
      </c>
      <c r="AK157" s="236">
        <v>0</v>
      </c>
      <c r="AL157" s="236">
        <v>0</v>
      </c>
      <c r="AM157" s="236"/>
      <c r="AN157" s="236"/>
      <c r="AO157" s="236"/>
      <c r="AP157" s="236"/>
      <c r="AQ157" s="236">
        <v>555600096</v>
      </c>
      <c r="AR157" s="236" t="s">
        <v>193</v>
      </c>
      <c r="AS157" s="236" t="s">
        <v>193</v>
      </c>
      <c r="AT157" s="236" t="s">
        <v>180</v>
      </c>
      <c r="AU157" s="206"/>
      <c r="AV157" s="236"/>
      <c r="AW157" s="236"/>
    </row>
    <row r="158" spans="1:49" ht="30.75">
      <c r="A158" s="236" t="s">
        <v>169</v>
      </c>
      <c r="B158" s="236">
        <v>3103</v>
      </c>
      <c r="C158" s="236" t="s">
        <v>822</v>
      </c>
      <c r="D158" s="236"/>
      <c r="E158" s="236" t="s">
        <v>823</v>
      </c>
      <c r="F158" s="276" t="s">
        <v>54</v>
      </c>
      <c r="G158" s="276" t="s">
        <v>173</v>
      </c>
      <c r="H158" s="236" t="s">
        <v>270</v>
      </c>
      <c r="I158" s="199" t="s">
        <v>824</v>
      </c>
      <c r="J158" s="236" t="s">
        <v>684</v>
      </c>
      <c r="K158" s="236">
        <v>13.46</v>
      </c>
      <c r="L158" s="277" t="s">
        <v>190</v>
      </c>
      <c r="M158" s="276">
        <v>2012</v>
      </c>
      <c r="N158" s="276">
        <v>2012</v>
      </c>
      <c r="O158" s="236" t="s">
        <v>193</v>
      </c>
      <c r="P158" s="236" t="s">
        <v>199</v>
      </c>
      <c r="Q158" s="236" t="s">
        <v>199</v>
      </c>
      <c r="R158" s="238" t="s">
        <v>181</v>
      </c>
      <c r="S158" s="236">
        <v>1</v>
      </c>
      <c r="T158" s="236">
        <v>14</v>
      </c>
      <c r="U158" s="236">
        <v>14</v>
      </c>
      <c r="V158" s="236"/>
      <c r="W158" s="236">
        <v>0</v>
      </c>
      <c r="X158" s="236">
        <v>0</v>
      </c>
      <c r="Y158" s="236">
        <v>0</v>
      </c>
      <c r="Z158" s="236">
        <v>14</v>
      </c>
      <c r="AA158" s="236">
        <v>0</v>
      </c>
      <c r="AB158" s="236">
        <v>0</v>
      </c>
      <c r="AC158" s="236">
        <v>0</v>
      </c>
      <c r="AD158" s="236" t="s">
        <v>145</v>
      </c>
      <c r="AE158" s="236">
        <v>0</v>
      </c>
      <c r="AF158" s="236" t="s">
        <v>208</v>
      </c>
      <c r="AG158" s="236">
        <v>0</v>
      </c>
      <c r="AH158" s="236">
        <v>1</v>
      </c>
      <c r="AI158" s="236"/>
      <c r="AJ158" s="236">
        <v>0</v>
      </c>
      <c r="AK158" s="236">
        <v>0</v>
      </c>
      <c r="AL158" s="236">
        <v>0</v>
      </c>
      <c r="AM158" s="236"/>
      <c r="AN158" s="236"/>
      <c r="AO158" s="236"/>
      <c r="AP158" s="236"/>
      <c r="AQ158" s="236">
        <v>555600151</v>
      </c>
      <c r="AR158" s="236"/>
      <c r="AS158" s="236" t="s">
        <v>193</v>
      </c>
      <c r="AT158" s="236" t="s">
        <v>180</v>
      </c>
      <c r="AU158" s="199"/>
      <c r="AV158" s="236"/>
      <c r="AW158" s="236"/>
    </row>
    <row r="159" spans="1:49" ht="45.75">
      <c r="A159" s="236" t="s">
        <v>169</v>
      </c>
      <c r="B159" s="236">
        <v>2719</v>
      </c>
      <c r="C159" s="236" t="s">
        <v>825</v>
      </c>
      <c r="D159" s="236"/>
      <c r="E159" s="236" t="s">
        <v>826</v>
      </c>
      <c r="F159" s="276" t="s">
        <v>54</v>
      </c>
      <c r="G159" s="276" t="s">
        <v>173</v>
      </c>
      <c r="H159" s="236" t="s">
        <v>270</v>
      </c>
      <c r="I159" s="201" t="s">
        <v>827</v>
      </c>
      <c r="J159" s="236" t="s">
        <v>684</v>
      </c>
      <c r="K159" s="236">
        <v>155.15</v>
      </c>
      <c r="L159" s="277" t="s">
        <v>190</v>
      </c>
      <c r="M159" s="276">
        <v>2012</v>
      </c>
      <c r="N159" s="276">
        <v>2012</v>
      </c>
      <c r="O159" s="236" t="s">
        <v>193</v>
      </c>
      <c r="P159" s="236" t="s">
        <v>199</v>
      </c>
      <c r="Q159" s="236" t="s">
        <v>199</v>
      </c>
      <c r="R159" s="238" t="s">
        <v>181</v>
      </c>
      <c r="S159" s="236">
        <v>1</v>
      </c>
      <c r="T159" s="236">
        <v>155</v>
      </c>
      <c r="U159" s="236">
        <v>155</v>
      </c>
      <c r="V159" s="236"/>
      <c r="W159" s="236">
        <v>0</v>
      </c>
      <c r="X159" s="236">
        <v>0</v>
      </c>
      <c r="Y159" s="236">
        <v>0</v>
      </c>
      <c r="Z159" s="236">
        <v>155</v>
      </c>
      <c r="AA159" s="236">
        <v>0</v>
      </c>
      <c r="AB159" s="236">
        <v>0</v>
      </c>
      <c r="AC159" s="236">
        <v>0</v>
      </c>
      <c r="AD159" s="236" t="s">
        <v>145</v>
      </c>
      <c r="AE159" s="236">
        <v>0</v>
      </c>
      <c r="AF159" s="236" t="s">
        <v>208</v>
      </c>
      <c r="AG159" s="236">
        <v>0</v>
      </c>
      <c r="AH159" s="236">
        <v>1</v>
      </c>
      <c r="AI159" s="236"/>
      <c r="AJ159" s="236">
        <v>0</v>
      </c>
      <c r="AK159" s="236">
        <v>0</v>
      </c>
      <c r="AL159" s="236">
        <v>0</v>
      </c>
      <c r="AM159" s="236"/>
      <c r="AN159" s="236"/>
      <c r="AO159" s="236"/>
      <c r="AP159" s="236"/>
      <c r="AQ159" s="236">
        <v>555682257</v>
      </c>
      <c r="AR159" s="236" t="s">
        <v>193</v>
      </c>
      <c r="AS159" s="236" t="s">
        <v>193</v>
      </c>
      <c r="AT159" s="236" t="s">
        <v>180</v>
      </c>
      <c r="AU159" s="199"/>
      <c r="AV159" s="236"/>
      <c r="AW159" s="236"/>
    </row>
    <row r="160" spans="1:49" ht="30.75">
      <c r="A160" s="236" t="s">
        <v>169</v>
      </c>
      <c r="B160" s="236">
        <v>3101</v>
      </c>
      <c r="C160" s="236" t="s">
        <v>828</v>
      </c>
      <c r="D160" s="236"/>
      <c r="E160" s="236" t="s">
        <v>829</v>
      </c>
      <c r="F160" s="276" t="s">
        <v>54</v>
      </c>
      <c r="G160" s="276" t="s">
        <v>173</v>
      </c>
      <c r="H160" s="236" t="s">
        <v>270</v>
      </c>
      <c r="I160" s="205" t="s">
        <v>830</v>
      </c>
      <c r="J160" s="236" t="s">
        <v>710</v>
      </c>
      <c r="K160" s="236">
        <v>212.07</v>
      </c>
      <c r="L160" s="277" t="s">
        <v>190</v>
      </c>
      <c r="M160" s="276">
        <v>2012</v>
      </c>
      <c r="N160" s="276">
        <v>2012</v>
      </c>
      <c r="O160" s="236" t="s">
        <v>193</v>
      </c>
      <c r="P160" s="236" t="s">
        <v>199</v>
      </c>
      <c r="Q160" s="236" t="s">
        <v>199</v>
      </c>
      <c r="R160" s="238" t="s">
        <v>181</v>
      </c>
      <c r="S160" s="236">
        <v>1</v>
      </c>
      <c r="T160" s="236">
        <v>212</v>
      </c>
      <c r="U160" s="236">
        <v>212</v>
      </c>
      <c r="V160" s="236"/>
      <c r="W160" s="236">
        <v>0</v>
      </c>
      <c r="X160" s="236">
        <v>0</v>
      </c>
      <c r="Y160" s="236">
        <v>0</v>
      </c>
      <c r="Z160" s="236">
        <v>212</v>
      </c>
      <c r="AA160" s="236">
        <v>0</v>
      </c>
      <c r="AB160" s="236">
        <v>0</v>
      </c>
      <c r="AC160" s="236">
        <v>0</v>
      </c>
      <c r="AD160" s="236" t="s">
        <v>145</v>
      </c>
      <c r="AE160" s="236">
        <v>0</v>
      </c>
      <c r="AF160" s="236" t="s">
        <v>208</v>
      </c>
      <c r="AG160" s="236">
        <v>0</v>
      </c>
      <c r="AH160" s="236">
        <v>1</v>
      </c>
      <c r="AI160" s="236"/>
      <c r="AJ160" s="236">
        <v>0</v>
      </c>
      <c r="AK160" s="236">
        <v>0</v>
      </c>
      <c r="AL160" s="236">
        <v>0</v>
      </c>
      <c r="AM160" s="236"/>
      <c r="AN160" s="236"/>
      <c r="AO160" s="236"/>
      <c r="AP160" s="236"/>
      <c r="AQ160" s="236">
        <v>555600051</v>
      </c>
      <c r="AR160" s="236" t="s">
        <v>193</v>
      </c>
      <c r="AS160" s="236" t="s">
        <v>193</v>
      </c>
      <c r="AT160" s="236" t="s">
        <v>180</v>
      </c>
      <c r="AU160" s="206"/>
      <c r="AV160" s="236"/>
      <c r="AW160" s="236"/>
    </row>
    <row r="161" spans="1:49" ht="30.75">
      <c r="A161" s="236" t="s">
        <v>169</v>
      </c>
      <c r="B161" s="236">
        <v>2716</v>
      </c>
      <c r="C161" s="236" t="s">
        <v>831</v>
      </c>
      <c r="D161" s="236"/>
      <c r="E161" s="236" t="s">
        <v>832</v>
      </c>
      <c r="F161" s="276" t="s">
        <v>54</v>
      </c>
      <c r="G161" s="276" t="s">
        <v>173</v>
      </c>
      <c r="H161" s="236" t="s">
        <v>270</v>
      </c>
      <c r="I161" s="199" t="s">
        <v>833</v>
      </c>
      <c r="J161" s="236" t="s">
        <v>583</v>
      </c>
      <c r="K161" s="236">
        <v>66.7</v>
      </c>
      <c r="L161" s="277" t="s">
        <v>190</v>
      </c>
      <c r="M161" s="276">
        <v>2012</v>
      </c>
      <c r="N161" s="276">
        <v>2012</v>
      </c>
      <c r="O161" s="236" t="s">
        <v>193</v>
      </c>
      <c r="P161" s="236" t="s">
        <v>199</v>
      </c>
      <c r="Q161" s="236" t="s">
        <v>199</v>
      </c>
      <c r="R161" s="238" t="s">
        <v>181</v>
      </c>
      <c r="S161" s="236">
        <v>1</v>
      </c>
      <c r="T161" s="236">
        <v>67</v>
      </c>
      <c r="U161" s="236">
        <v>67</v>
      </c>
      <c r="V161" s="236"/>
      <c r="W161" s="236">
        <v>0</v>
      </c>
      <c r="X161" s="236">
        <v>0</v>
      </c>
      <c r="Y161" s="236">
        <v>0</v>
      </c>
      <c r="Z161" s="236">
        <v>67</v>
      </c>
      <c r="AA161" s="236">
        <v>0</v>
      </c>
      <c r="AB161" s="236">
        <v>0</v>
      </c>
      <c r="AC161" s="236">
        <v>0</v>
      </c>
      <c r="AD161" s="236" t="s">
        <v>145</v>
      </c>
      <c r="AE161" s="236">
        <v>0</v>
      </c>
      <c r="AF161" s="236" t="s">
        <v>208</v>
      </c>
      <c r="AG161" s="236">
        <v>0</v>
      </c>
      <c r="AH161" s="236">
        <v>1</v>
      </c>
      <c r="AI161" s="236"/>
      <c r="AJ161" s="236">
        <v>0</v>
      </c>
      <c r="AK161" s="236">
        <v>1</v>
      </c>
      <c r="AL161" s="236">
        <v>1</v>
      </c>
      <c r="AM161" s="236"/>
      <c r="AN161" s="236"/>
      <c r="AO161" s="236"/>
      <c r="AP161" s="236"/>
      <c r="AQ161" s="236">
        <v>555600061</v>
      </c>
      <c r="AR161" s="236" t="s">
        <v>193</v>
      </c>
      <c r="AS161" s="236" t="s">
        <v>193</v>
      </c>
      <c r="AT161" s="236" t="s">
        <v>180</v>
      </c>
      <c r="AU161" s="199"/>
      <c r="AV161" s="236"/>
      <c r="AW161" s="236"/>
    </row>
    <row r="162" spans="1:49" s="240" customFormat="1" ht="30.75">
      <c r="A162" s="236" t="s">
        <v>169</v>
      </c>
      <c r="B162" s="236">
        <v>3102</v>
      </c>
      <c r="C162" s="236" t="s">
        <v>834</v>
      </c>
      <c r="D162" s="236"/>
      <c r="E162" s="236" t="s">
        <v>835</v>
      </c>
      <c r="F162" s="276" t="s">
        <v>54</v>
      </c>
      <c r="G162" s="276" t="s">
        <v>173</v>
      </c>
      <c r="H162" s="236" t="s">
        <v>270</v>
      </c>
      <c r="I162" s="199" t="s">
        <v>836</v>
      </c>
      <c r="J162" s="236" t="s">
        <v>684</v>
      </c>
      <c r="K162" s="236">
        <v>201.54</v>
      </c>
      <c r="L162" s="277" t="s">
        <v>190</v>
      </c>
      <c r="M162" s="276">
        <v>2012</v>
      </c>
      <c r="N162" s="276">
        <v>2012</v>
      </c>
      <c r="O162" s="236" t="s">
        <v>193</v>
      </c>
      <c r="P162" s="236" t="s">
        <v>199</v>
      </c>
      <c r="Q162" s="236" t="s">
        <v>199</v>
      </c>
      <c r="R162" s="238" t="s">
        <v>181</v>
      </c>
      <c r="S162" s="236">
        <v>1</v>
      </c>
      <c r="T162" s="236">
        <v>201</v>
      </c>
      <c r="U162" s="236">
        <v>201</v>
      </c>
      <c r="V162" s="236"/>
      <c r="W162" s="236">
        <v>0</v>
      </c>
      <c r="X162" s="236">
        <v>0</v>
      </c>
      <c r="Y162" s="236">
        <v>0</v>
      </c>
      <c r="Z162" s="236">
        <v>201</v>
      </c>
      <c r="AA162" s="236">
        <v>0</v>
      </c>
      <c r="AB162" s="236">
        <v>0</v>
      </c>
      <c r="AC162" s="236">
        <v>0</v>
      </c>
      <c r="AD162" s="236" t="s">
        <v>145</v>
      </c>
      <c r="AE162" s="236">
        <v>0</v>
      </c>
      <c r="AF162" s="236" t="s">
        <v>208</v>
      </c>
      <c r="AG162" s="236">
        <v>0</v>
      </c>
      <c r="AH162" s="236">
        <v>1</v>
      </c>
      <c r="AI162" s="236"/>
      <c r="AJ162" s="236">
        <v>0</v>
      </c>
      <c r="AK162" s="236">
        <v>0</v>
      </c>
      <c r="AL162" s="236">
        <v>0</v>
      </c>
      <c r="AM162" s="236"/>
      <c r="AN162" s="236"/>
      <c r="AO162" s="236"/>
      <c r="AP162" s="236"/>
      <c r="AQ162" s="236">
        <v>555682269</v>
      </c>
      <c r="AR162" s="236" t="s">
        <v>193</v>
      </c>
      <c r="AS162" s="236" t="s">
        <v>193</v>
      </c>
      <c r="AT162" s="236" t="s">
        <v>180</v>
      </c>
      <c r="AU162" s="199"/>
      <c r="AV162" s="236"/>
      <c r="AW162" s="236"/>
    </row>
    <row r="163" spans="1:49" s="240" customFormat="1" ht="30.75">
      <c r="A163" s="236" t="s">
        <v>169</v>
      </c>
      <c r="B163" s="236">
        <v>2714</v>
      </c>
      <c r="C163" s="236" t="s">
        <v>837</v>
      </c>
      <c r="D163" s="236"/>
      <c r="E163" s="236" t="s">
        <v>838</v>
      </c>
      <c r="F163" s="276" t="s">
        <v>54</v>
      </c>
      <c r="G163" s="276" t="s">
        <v>173</v>
      </c>
      <c r="H163" s="236" t="s">
        <v>270</v>
      </c>
      <c r="I163" s="205" t="s">
        <v>839</v>
      </c>
      <c r="J163" s="236" t="s">
        <v>710</v>
      </c>
      <c r="K163" s="236">
        <v>54.34</v>
      </c>
      <c r="L163" s="277" t="s">
        <v>190</v>
      </c>
      <c r="M163" s="276">
        <v>2012</v>
      </c>
      <c r="N163" s="276">
        <v>2012</v>
      </c>
      <c r="O163" s="236" t="s">
        <v>193</v>
      </c>
      <c r="P163" s="236" t="s">
        <v>199</v>
      </c>
      <c r="Q163" s="236" t="s">
        <v>199</v>
      </c>
      <c r="R163" s="238" t="s">
        <v>181</v>
      </c>
      <c r="S163" s="236">
        <v>1</v>
      </c>
      <c r="T163" s="236">
        <v>54.350432980000001</v>
      </c>
      <c r="U163" s="236">
        <v>54.350432980000001</v>
      </c>
      <c r="V163" s="236"/>
      <c r="W163" s="236">
        <v>0</v>
      </c>
      <c r="X163" s="236">
        <v>0</v>
      </c>
      <c r="Y163" s="236">
        <v>0</v>
      </c>
      <c r="Z163" s="236">
        <v>54.350432980000001</v>
      </c>
      <c r="AA163" s="236">
        <v>0</v>
      </c>
      <c r="AB163" s="236">
        <v>0</v>
      </c>
      <c r="AC163" s="236">
        <v>0</v>
      </c>
      <c r="AD163" s="236" t="s">
        <v>145</v>
      </c>
      <c r="AE163" s="236">
        <v>0</v>
      </c>
      <c r="AF163" s="236" t="s">
        <v>208</v>
      </c>
      <c r="AG163" s="236">
        <v>0</v>
      </c>
      <c r="AH163" s="236">
        <v>1</v>
      </c>
      <c r="AI163" s="236"/>
      <c r="AJ163" s="236">
        <v>0</v>
      </c>
      <c r="AK163" s="236">
        <v>0</v>
      </c>
      <c r="AL163" s="236">
        <v>0</v>
      </c>
      <c r="AM163" s="236"/>
      <c r="AN163" s="236"/>
      <c r="AO163" s="236"/>
      <c r="AP163" s="236"/>
      <c r="AQ163" s="236">
        <v>555600021</v>
      </c>
      <c r="AR163" s="236" t="s">
        <v>193</v>
      </c>
      <c r="AS163" s="236" t="s">
        <v>193</v>
      </c>
      <c r="AT163" s="236" t="s">
        <v>180</v>
      </c>
      <c r="AU163" s="206"/>
      <c r="AV163" s="236"/>
      <c r="AW163" s="236"/>
    </row>
    <row r="164" spans="1:49" s="240" customFormat="1">
      <c r="A164" s="276" t="s">
        <v>169</v>
      </c>
      <c r="B164" s="236">
        <v>3210</v>
      </c>
      <c r="C164" s="236" t="s">
        <v>840</v>
      </c>
      <c r="D164" s="276"/>
      <c r="E164" s="276" t="s">
        <v>841</v>
      </c>
      <c r="F164" s="276" t="s">
        <v>54</v>
      </c>
      <c r="G164" s="197" t="s">
        <v>220</v>
      </c>
      <c r="H164" s="236" t="s">
        <v>270</v>
      </c>
      <c r="I164" s="197" t="s">
        <v>842</v>
      </c>
      <c r="J164" s="236" t="s">
        <v>553</v>
      </c>
      <c r="K164" s="276">
        <v>10.57</v>
      </c>
      <c r="L164" s="277" t="s">
        <v>190</v>
      </c>
      <c r="M164" s="276">
        <v>2012</v>
      </c>
      <c r="N164" s="236">
        <v>2012</v>
      </c>
      <c r="O164" s="236" t="s">
        <v>193</v>
      </c>
      <c r="P164" s="276" t="s">
        <v>180</v>
      </c>
      <c r="Q164" s="236" t="s">
        <v>199</v>
      </c>
      <c r="R164" s="277"/>
      <c r="S164" s="236">
        <v>1</v>
      </c>
      <c r="T164" s="236">
        <v>11</v>
      </c>
      <c r="U164" s="236">
        <v>11</v>
      </c>
      <c r="V164" s="236"/>
      <c r="W164" s="236">
        <v>0</v>
      </c>
      <c r="X164" s="236">
        <v>0</v>
      </c>
      <c r="Y164" s="236">
        <v>0</v>
      </c>
      <c r="Z164" s="236">
        <v>11</v>
      </c>
      <c r="AA164" s="236">
        <v>0</v>
      </c>
      <c r="AB164" s="236">
        <v>0</v>
      </c>
      <c r="AC164" s="236">
        <v>0</v>
      </c>
      <c r="AD164" s="236" t="s">
        <v>145</v>
      </c>
      <c r="AE164" s="236">
        <v>0</v>
      </c>
      <c r="AF164" s="236" t="s">
        <v>208</v>
      </c>
      <c r="AG164" s="236">
        <v>0</v>
      </c>
      <c r="AH164" s="236">
        <v>1</v>
      </c>
      <c r="AI164" s="236"/>
      <c r="AJ164" s="236">
        <v>0</v>
      </c>
      <c r="AK164" s="236">
        <v>0</v>
      </c>
      <c r="AL164" s="236">
        <v>0</v>
      </c>
      <c r="AM164" s="236"/>
      <c r="AN164" s="236"/>
      <c r="AO164" s="236"/>
      <c r="AP164" s="236"/>
      <c r="AQ164" s="236">
        <v>555600090</v>
      </c>
      <c r="AR164" s="276" t="s">
        <v>843</v>
      </c>
      <c r="AS164" s="276"/>
      <c r="AT164" s="276" t="s">
        <v>180</v>
      </c>
      <c r="AU164" s="250" t="s">
        <v>792</v>
      </c>
      <c r="AV164" s="276"/>
      <c r="AW164" s="236"/>
    </row>
    <row r="165" spans="1:49" s="240" customFormat="1">
      <c r="A165" s="276" t="s">
        <v>169</v>
      </c>
      <c r="B165" s="236">
        <v>3212</v>
      </c>
      <c r="C165" s="236" t="s">
        <v>844</v>
      </c>
      <c r="D165" s="276"/>
      <c r="E165" s="276" t="s">
        <v>845</v>
      </c>
      <c r="F165" s="276" t="s">
        <v>54</v>
      </c>
      <c r="G165" s="197" t="s">
        <v>220</v>
      </c>
      <c r="H165" s="236" t="s">
        <v>270</v>
      </c>
      <c r="I165" s="197" t="s">
        <v>846</v>
      </c>
      <c r="J165" s="236" t="s">
        <v>847</v>
      </c>
      <c r="K165" s="276">
        <v>130.47</v>
      </c>
      <c r="L165" s="277" t="s">
        <v>190</v>
      </c>
      <c r="M165" s="276">
        <v>2012</v>
      </c>
      <c r="N165" s="236">
        <v>2012</v>
      </c>
      <c r="O165" s="236" t="s">
        <v>193</v>
      </c>
      <c r="P165" s="276" t="s">
        <v>180</v>
      </c>
      <c r="Q165" s="236" t="s">
        <v>199</v>
      </c>
      <c r="R165" s="277"/>
      <c r="S165" s="236">
        <v>1</v>
      </c>
      <c r="T165" s="236">
        <v>130.19103699999999</v>
      </c>
      <c r="U165" s="236">
        <v>130.19103699999999</v>
      </c>
      <c r="V165" s="236"/>
      <c r="W165" s="236">
        <v>0</v>
      </c>
      <c r="X165" s="236">
        <v>0</v>
      </c>
      <c r="Y165" s="236">
        <v>0</v>
      </c>
      <c r="Z165" s="236">
        <v>130.19103699999999</v>
      </c>
      <c r="AA165" s="236">
        <v>0</v>
      </c>
      <c r="AB165" s="236">
        <v>0</v>
      </c>
      <c r="AC165" s="236">
        <v>0</v>
      </c>
      <c r="AD165" s="236" t="s">
        <v>145</v>
      </c>
      <c r="AE165" s="236">
        <v>0</v>
      </c>
      <c r="AF165" s="236" t="s">
        <v>208</v>
      </c>
      <c r="AG165" s="236">
        <v>0</v>
      </c>
      <c r="AH165" s="236">
        <v>1</v>
      </c>
      <c r="AI165" s="236"/>
      <c r="AJ165" s="236">
        <v>0</v>
      </c>
      <c r="AK165" s="236">
        <v>0</v>
      </c>
      <c r="AL165" s="236">
        <v>0</v>
      </c>
      <c r="AM165" s="236"/>
      <c r="AN165" s="236"/>
      <c r="AO165" s="236"/>
      <c r="AP165" s="236"/>
      <c r="AQ165" s="236">
        <v>555682232</v>
      </c>
      <c r="AR165" s="276" t="s">
        <v>848</v>
      </c>
      <c r="AS165" s="276"/>
      <c r="AT165" s="276" t="s">
        <v>180</v>
      </c>
      <c r="AU165" s="250" t="s">
        <v>792</v>
      </c>
      <c r="AV165" s="276"/>
      <c r="AW165" s="236"/>
    </row>
    <row r="166" spans="1:49" s="240" customFormat="1" ht="152.25">
      <c r="A166" s="276" t="s">
        <v>169</v>
      </c>
      <c r="B166" s="236">
        <v>3770</v>
      </c>
      <c r="C166" s="236" t="s">
        <v>849</v>
      </c>
      <c r="D166" s="276"/>
      <c r="E166" s="276" t="s">
        <v>850</v>
      </c>
      <c r="F166" s="276" t="s">
        <v>764</v>
      </c>
      <c r="G166" s="276" t="s">
        <v>116</v>
      </c>
      <c r="H166" s="236" t="s">
        <v>316</v>
      </c>
      <c r="I166" s="277" t="s">
        <v>851</v>
      </c>
      <c r="J166" s="236" t="s">
        <v>852</v>
      </c>
      <c r="K166" s="276">
        <v>3204</v>
      </c>
      <c r="L166" s="277" t="s">
        <v>190</v>
      </c>
      <c r="M166" s="276">
        <v>2012</v>
      </c>
      <c r="N166" s="276">
        <v>2025</v>
      </c>
      <c r="O166" s="277" t="s">
        <v>853</v>
      </c>
      <c r="P166" s="236" t="s">
        <v>121</v>
      </c>
      <c r="Q166" s="236" t="s">
        <v>121</v>
      </c>
      <c r="R166" s="277" t="s">
        <v>854</v>
      </c>
      <c r="S166" s="236">
        <v>1</v>
      </c>
      <c r="T166" s="237">
        <v>2601</v>
      </c>
      <c r="U166" s="237">
        <v>2601</v>
      </c>
      <c r="V166" s="236"/>
      <c r="W166" s="236">
        <v>0</v>
      </c>
      <c r="X166" s="236">
        <v>0</v>
      </c>
      <c r="Y166" s="236">
        <v>0</v>
      </c>
      <c r="Z166" s="237">
        <v>2601</v>
      </c>
      <c r="AA166" s="236">
        <v>0</v>
      </c>
      <c r="AB166" s="236">
        <v>0</v>
      </c>
      <c r="AC166" s="236">
        <v>0</v>
      </c>
      <c r="AD166" s="236" t="s">
        <v>145</v>
      </c>
      <c r="AE166" s="236">
        <v>0</v>
      </c>
      <c r="AF166" s="236" t="s">
        <v>182</v>
      </c>
      <c r="AG166" s="236">
        <v>1</v>
      </c>
      <c r="AH166" s="236">
        <v>0</v>
      </c>
      <c r="AI166" s="236"/>
      <c r="AJ166" s="236">
        <v>0</v>
      </c>
      <c r="AK166" s="236">
        <v>1</v>
      </c>
      <c r="AL166" s="236">
        <v>1</v>
      </c>
      <c r="AM166" s="236"/>
      <c r="AN166" s="236"/>
      <c r="AO166" s="236"/>
      <c r="AP166" s="236"/>
      <c r="AQ166" s="236">
        <v>555682270</v>
      </c>
      <c r="AR166" s="276"/>
      <c r="AS166" s="276"/>
      <c r="AT166" s="276" t="s">
        <v>180</v>
      </c>
      <c r="AU166" s="247" t="s">
        <v>855</v>
      </c>
      <c r="AV166" s="276"/>
      <c r="AW166" s="236"/>
    </row>
    <row r="167" spans="1:49" ht="30.75">
      <c r="A167" s="236" t="s">
        <v>169</v>
      </c>
      <c r="B167" s="236">
        <v>3098</v>
      </c>
      <c r="C167" s="236" t="s">
        <v>856</v>
      </c>
      <c r="D167" s="236"/>
      <c r="E167" s="236" t="s">
        <v>857</v>
      </c>
      <c r="F167" s="276" t="s">
        <v>54</v>
      </c>
      <c r="G167" s="276" t="s">
        <v>173</v>
      </c>
      <c r="H167" s="236" t="s">
        <v>270</v>
      </c>
      <c r="I167" s="199" t="s">
        <v>858</v>
      </c>
      <c r="J167" s="236" t="s">
        <v>859</v>
      </c>
      <c r="K167" s="236">
        <v>13.5</v>
      </c>
      <c r="L167" s="277" t="s">
        <v>190</v>
      </c>
      <c r="M167" s="276">
        <v>2013</v>
      </c>
      <c r="N167" s="276">
        <v>2013</v>
      </c>
      <c r="O167" s="236" t="s">
        <v>193</v>
      </c>
      <c r="P167" s="236" t="s">
        <v>199</v>
      </c>
      <c r="Q167" s="236" t="s">
        <v>199</v>
      </c>
      <c r="R167" s="238" t="s">
        <v>181</v>
      </c>
      <c r="S167" s="236">
        <v>1</v>
      </c>
      <c r="T167" s="236">
        <v>14</v>
      </c>
      <c r="U167" s="236">
        <v>14</v>
      </c>
      <c r="V167" s="236"/>
      <c r="W167" s="236">
        <v>0</v>
      </c>
      <c r="X167" s="236">
        <v>0</v>
      </c>
      <c r="Y167" s="236">
        <v>0</v>
      </c>
      <c r="Z167" s="236">
        <v>14</v>
      </c>
      <c r="AA167" s="236">
        <v>0</v>
      </c>
      <c r="AB167" s="236">
        <v>0</v>
      </c>
      <c r="AC167" s="236">
        <v>0</v>
      </c>
      <c r="AD167" s="236" t="s">
        <v>145</v>
      </c>
      <c r="AE167" s="236">
        <v>0</v>
      </c>
      <c r="AF167" s="236" t="s">
        <v>208</v>
      </c>
      <c r="AG167" s="236">
        <v>0</v>
      </c>
      <c r="AH167" s="236">
        <v>1</v>
      </c>
      <c r="AI167" s="236"/>
      <c r="AJ167" s="236">
        <v>0</v>
      </c>
      <c r="AK167" s="236">
        <v>0</v>
      </c>
      <c r="AL167" s="236">
        <v>0</v>
      </c>
      <c r="AM167" s="236"/>
      <c r="AN167" s="236"/>
      <c r="AO167" s="236"/>
      <c r="AP167" s="236"/>
      <c r="AQ167" s="236">
        <v>555682317</v>
      </c>
      <c r="AR167" s="236" t="s">
        <v>193</v>
      </c>
      <c r="AS167" s="236" t="s">
        <v>193</v>
      </c>
      <c r="AT167" s="236" t="s">
        <v>180</v>
      </c>
      <c r="AU167" s="199"/>
      <c r="AV167" s="236"/>
      <c r="AW167" s="236"/>
    </row>
    <row r="168" spans="1:49" ht="30.75">
      <c r="A168" s="236" t="s">
        <v>169</v>
      </c>
      <c r="B168" s="236">
        <v>3100</v>
      </c>
      <c r="C168" s="236" t="s">
        <v>860</v>
      </c>
      <c r="D168" s="236"/>
      <c r="E168" s="236" t="s">
        <v>861</v>
      </c>
      <c r="F168" s="276" t="s">
        <v>54</v>
      </c>
      <c r="G168" s="276" t="s">
        <v>173</v>
      </c>
      <c r="H168" s="236" t="s">
        <v>270</v>
      </c>
      <c r="I168" s="199" t="s">
        <v>862</v>
      </c>
      <c r="J168" s="236" t="s">
        <v>676</v>
      </c>
      <c r="K168" s="236">
        <v>45.5</v>
      </c>
      <c r="L168" s="277" t="s">
        <v>190</v>
      </c>
      <c r="M168" s="276">
        <v>2013</v>
      </c>
      <c r="N168" s="276">
        <v>2013</v>
      </c>
      <c r="O168" s="236" t="s">
        <v>193</v>
      </c>
      <c r="P168" s="236" t="s">
        <v>199</v>
      </c>
      <c r="Q168" s="236" t="s">
        <v>199</v>
      </c>
      <c r="R168" s="238" t="s">
        <v>181</v>
      </c>
      <c r="S168" s="236">
        <v>1</v>
      </c>
      <c r="T168" s="236">
        <v>45</v>
      </c>
      <c r="U168" s="236">
        <v>45</v>
      </c>
      <c r="V168" s="236"/>
      <c r="W168" s="236">
        <v>0</v>
      </c>
      <c r="X168" s="236">
        <v>0</v>
      </c>
      <c r="Y168" s="236">
        <v>0</v>
      </c>
      <c r="Z168" s="236">
        <v>45</v>
      </c>
      <c r="AA168" s="236">
        <v>0</v>
      </c>
      <c r="AB168" s="236">
        <v>0</v>
      </c>
      <c r="AC168" s="236">
        <v>0</v>
      </c>
      <c r="AD168" s="236" t="s">
        <v>145</v>
      </c>
      <c r="AE168" s="236">
        <v>0</v>
      </c>
      <c r="AF168" s="236" t="s">
        <v>208</v>
      </c>
      <c r="AG168" s="236">
        <v>0</v>
      </c>
      <c r="AH168" s="236">
        <v>1</v>
      </c>
      <c r="AI168" s="236"/>
      <c r="AJ168" s="236">
        <v>0</v>
      </c>
      <c r="AK168" s="236">
        <v>0</v>
      </c>
      <c r="AL168" s="236">
        <v>0</v>
      </c>
      <c r="AM168" s="236"/>
      <c r="AN168" s="236"/>
      <c r="AO168" s="236"/>
      <c r="AP168" s="236"/>
      <c r="AQ168" s="236">
        <v>555600022</v>
      </c>
      <c r="AR168" s="236" t="s">
        <v>193</v>
      </c>
      <c r="AS168" s="236" t="s">
        <v>193</v>
      </c>
      <c r="AT168" s="236" t="s">
        <v>180</v>
      </c>
      <c r="AU168" s="199"/>
      <c r="AV168" s="236"/>
      <c r="AW168" s="236"/>
    </row>
    <row r="169" spans="1:49" ht="30.75">
      <c r="A169" s="236" t="s">
        <v>169</v>
      </c>
      <c r="B169" s="236">
        <v>3099</v>
      </c>
      <c r="C169" s="236" t="s">
        <v>863</v>
      </c>
      <c r="D169" s="236"/>
      <c r="E169" s="236" t="s">
        <v>864</v>
      </c>
      <c r="F169" s="276" t="s">
        <v>54</v>
      </c>
      <c r="G169" s="276" t="s">
        <v>173</v>
      </c>
      <c r="H169" s="236" t="s">
        <v>270</v>
      </c>
      <c r="I169" s="199" t="s">
        <v>865</v>
      </c>
      <c r="J169" s="236" t="s">
        <v>553</v>
      </c>
      <c r="K169" s="236">
        <v>43.5</v>
      </c>
      <c r="L169" s="277" t="s">
        <v>190</v>
      </c>
      <c r="M169" s="276">
        <v>2013</v>
      </c>
      <c r="N169" s="276">
        <v>2013</v>
      </c>
      <c r="O169" s="236" t="s">
        <v>193</v>
      </c>
      <c r="P169" s="236" t="s">
        <v>199</v>
      </c>
      <c r="Q169" s="236" t="s">
        <v>199</v>
      </c>
      <c r="R169" s="238" t="s">
        <v>181</v>
      </c>
      <c r="S169" s="236">
        <v>1</v>
      </c>
      <c r="T169" s="236">
        <v>44</v>
      </c>
      <c r="U169" s="236">
        <v>44</v>
      </c>
      <c r="V169" s="236"/>
      <c r="W169" s="236">
        <v>0</v>
      </c>
      <c r="X169" s="236">
        <v>0</v>
      </c>
      <c r="Y169" s="236">
        <v>0</v>
      </c>
      <c r="Z169" s="236">
        <v>44</v>
      </c>
      <c r="AA169" s="236">
        <v>0</v>
      </c>
      <c r="AB169" s="236">
        <v>0</v>
      </c>
      <c r="AC169" s="236">
        <v>0</v>
      </c>
      <c r="AD169" s="236" t="s">
        <v>145</v>
      </c>
      <c r="AE169" s="236">
        <v>0</v>
      </c>
      <c r="AF169" s="236" t="s">
        <v>208</v>
      </c>
      <c r="AG169" s="236">
        <v>0</v>
      </c>
      <c r="AH169" s="236">
        <v>1</v>
      </c>
      <c r="AI169" s="236"/>
      <c r="AJ169" s="236">
        <v>0</v>
      </c>
      <c r="AK169" s="236">
        <v>0</v>
      </c>
      <c r="AL169" s="236">
        <v>0</v>
      </c>
      <c r="AM169" s="236"/>
      <c r="AN169" s="236"/>
      <c r="AO169" s="236"/>
      <c r="AP169" s="236"/>
      <c r="AQ169" s="236">
        <v>555600123</v>
      </c>
      <c r="AR169" s="236" t="s">
        <v>193</v>
      </c>
      <c r="AS169" s="236" t="s">
        <v>193</v>
      </c>
      <c r="AT169" s="236" t="s">
        <v>180</v>
      </c>
      <c r="AU169" s="199"/>
      <c r="AV169" s="236"/>
      <c r="AW169" s="236"/>
    </row>
    <row r="170" spans="1:49" s="240" customFormat="1" ht="30.75">
      <c r="A170" s="276" t="s">
        <v>169</v>
      </c>
      <c r="B170" s="236">
        <v>3029</v>
      </c>
      <c r="C170" s="236" t="s">
        <v>866</v>
      </c>
      <c r="D170" s="276"/>
      <c r="E170" s="197" t="s">
        <v>867</v>
      </c>
      <c r="F170" s="276" t="s">
        <v>172</v>
      </c>
      <c r="G170" s="276" t="s">
        <v>116</v>
      </c>
      <c r="H170" s="236" t="s">
        <v>174</v>
      </c>
      <c r="I170" s="276" t="s">
        <v>868</v>
      </c>
      <c r="J170" s="236" t="s">
        <v>266</v>
      </c>
      <c r="K170" s="276">
        <v>129.19999999999999</v>
      </c>
      <c r="L170" s="277" t="s">
        <v>190</v>
      </c>
      <c r="M170" s="276">
        <v>2013</v>
      </c>
      <c r="N170" s="276">
        <v>2013</v>
      </c>
      <c r="O170" s="197" t="s">
        <v>193</v>
      </c>
      <c r="P170" s="236" t="s">
        <v>121</v>
      </c>
      <c r="Q170" s="276" t="s">
        <v>121</v>
      </c>
      <c r="R170" s="277" t="s">
        <v>320</v>
      </c>
      <c r="S170" s="236">
        <v>1</v>
      </c>
      <c r="T170" s="236">
        <v>130</v>
      </c>
      <c r="U170" s="236">
        <v>130</v>
      </c>
      <c r="V170" s="236"/>
      <c r="W170" s="236">
        <v>0</v>
      </c>
      <c r="X170" s="236">
        <v>0</v>
      </c>
      <c r="Y170" s="236">
        <v>0</v>
      </c>
      <c r="Z170" s="236">
        <v>130</v>
      </c>
      <c r="AA170" s="236">
        <v>0</v>
      </c>
      <c r="AB170" s="236">
        <v>0</v>
      </c>
      <c r="AC170" s="236">
        <v>0</v>
      </c>
      <c r="AD170" s="236" t="s">
        <v>145</v>
      </c>
      <c r="AE170" s="236">
        <v>0</v>
      </c>
      <c r="AF170" s="236" t="s">
        <v>182</v>
      </c>
      <c r="AG170" s="236">
        <v>1</v>
      </c>
      <c r="AH170" s="236">
        <v>0</v>
      </c>
      <c r="AI170" s="236"/>
      <c r="AJ170" s="236">
        <v>0</v>
      </c>
      <c r="AK170" s="236">
        <v>1</v>
      </c>
      <c r="AL170" s="236">
        <v>1</v>
      </c>
      <c r="AM170" s="236"/>
      <c r="AN170" s="236"/>
      <c r="AO170" s="236"/>
      <c r="AP170" s="236"/>
      <c r="AQ170" s="236">
        <v>555600099</v>
      </c>
      <c r="AR170" s="276"/>
      <c r="AS170" s="276"/>
      <c r="AT170" s="276" t="s">
        <v>180</v>
      </c>
      <c r="AU170" s="250" t="s">
        <v>869</v>
      </c>
      <c r="AV170" s="276"/>
      <c r="AW170" s="236"/>
    </row>
    <row r="171" spans="1:49" ht="30.75">
      <c r="A171" s="236" t="s">
        <v>169</v>
      </c>
      <c r="B171" s="236">
        <v>4531</v>
      </c>
      <c r="C171" s="236" t="s">
        <v>870</v>
      </c>
      <c r="D171" s="236"/>
      <c r="E171" s="236" t="s">
        <v>871</v>
      </c>
      <c r="F171" s="276" t="s">
        <v>54</v>
      </c>
      <c r="G171" s="276" t="s">
        <v>173</v>
      </c>
      <c r="H171" s="236" t="s">
        <v>270</v>
      </c>
      <c r="I171" s="199" t="s">
        <v>872</v>
      </c>
      <c r="J171" s="236" t="s">
        <v>443</v>
      </c>
      <c r="K171" s="236">
        <v>22.04</v>
      </c>
      <c r="L171" s="277" t="s">
        <v>190</v>
      </c>
      <c r="M171" s="276">
        <v>2014</v>
      </c>
      <c r="N171" s="276">
        <v>2014</v>
      </c>
      <c r="O171" s="236" t="s">
        <v>193</v>
      </c>
      <c r="P171" s="236" t="s">
        <v>199</v>
      </c>
      <c r="Q171" s="236" t="s">
        <v>199</v>
      </c>
      <c r="R171" s="238" t="s">
        <v>181</v>
      </c>
      <c r="S171" s="236">
        <v>1</v>
      </c>
      <c r="T171" s="236">
        <v>22</v>
      </c>
      <c r="U171" s="236">
        <v>22</v>
      </c>
      <c r="V171" s="236"/>
      <c r="W171" s="236">
        <v>0</v>
      </c>
      <c r="X171" s="236">
        <v>0</v>
      </c>
      <c r="Y171" s="236">
        <v>0</v>
      </c>
      <c r="Z171" s="236">
        <v>22</v>
      </c>
      <c r="AA171" s="236">
        <v>0</v>
      </c>
      <c r="AB171" s="236">
        <v>0</v>
      </c>
      <c r="AC171" s="236">
        <v>0</v>
      </c>
      <c r="AD171" s="236" t="s">
        <v>145</v>
      </c>
      <c r="AE171" s="236">
        <v>0</v>
      </c>
      <c r="AF171" s="236" t="s">
        <v>208</v>
      </c>
      <c r="AG171" s="236">
        <v>0</v>
      </c>
      <c r="AH171" s="236">
        <v>1</v>
      </c>
      <c r="AI171" s="236"/>
      <c r="AJ171" s="236">
        <v>0</v>
      </c>
      <c r="AK171" s="236">
        <v>0</v>
      </c>
      <c r="AL171" s="236">
        <v>0</v>
      </c>
      <c r="AM171" s="236"/>
      <c r="AN171" s="236"/>
      <c r="AO171" s="236"/>
      <c r="AP171" s="236"/>
      <c r="AQ171" s="236">
        <v>555759175</v>
      </c>
      <c r="AR171" s="236" t="s">
        <v>193</v>
      </c>
      <c r="AS171" s="236" t="s">
        <v>193</v>
      </c>
      <c r="AT171" s="236" t="s">
        <v>180</v>
      </c>
      <c r="AU171" s="199"/>
      <c r="AV171" s="236"/>
      <c r="AW171" s="236"/>
    </row>
    <row r="172" spans="1:49" ht="30.75">
      <c r="A172" s="236" t="s">
        <v>169</v>
      </c>
      <c r="B172" s="236">
        <v>4524</v>
      </c>
      <c r="C172" s="236" t="s">
        <v>873</v>
      </c>
      <c r="D172" s="236"/>
      <c r="E172" s="236" t="s">
        <v>874</v>
      </c>
      <c r="F172" s="276" t="s">
        <v>54</v>
      </c>
      <c r="G172" s="276" t="s">
        <v>173</v>
      </c>
      <c r="H172" s="236" t="s">
        <v>270</v>
      </c>
      <c r="I172" s="199" t="s">
        <v>875</v>
      </c>
      <c r="J172" s="236" t="s">
        <v>523</v>
      </c>
      <c r="K172" s="236">
        <v>70</v>
      </c>
      <c r="L172" s="277" t="s">
        <v>190</v>
      </c>
      <c r="M172" s="276">
        <v>2014</v>
      </c>
      <c r="N172" s="276">
        <v>2014</v>
      </c>
      <c r="O172" s="236" t="s">
        <v>193</v>
      </c>
      <c r="P172" s="236" t="s">
        <v>199</v>
      </c>
      <c r="Q172" s="236" t="s">
        <v>199</v>
      </c>
      <c r="R172" s="238" t="s">
        <v>181</v>
      </c>
      <c r="S172" s="236">
        <v>1</v>
      </c>
      <c r="T172" s="236">
        <v>70</v>
      </c>
      <c r="U172" s="236">
        <v>70</v>
      </c>
      <c r="V172" s="236"/>
      <c r="W172" s="236">
        <v>0</v>
      </c>
      <c r="X172" s="236">
        <v>0</v>
      </c>
      <c r="Y172" s="236">
        <v>0</v>
      </c>
      <c r="Z172" s="236">
        <v>70</v>
      </c>
      <c r="AA172" s="236">
        <v>0</v>
      </c>
      <c r="AB172" s="236">
        <v>0</v>
      </c>
      <c r="AC172" s="236">
        <v>0</v>
      </c>
      <c r="AD172" s="236" t="s">
        <v>145</v>
      </c>
      <c r="AE172" s="236">
        <v>0</v>
      </c>
      <c r="AF172" s="236" t="s">
        <v>208</v>
      </c>
      <c r="AG172" s="236">
        <v>0</v>
      </c>
      <c r="AH172" s="236">
        <v>1</v>
      </c>
      <c r="AI172" s="236"/>
      <c r="AJ172" s="236">
        <v>0</v>
      </c>
      <c r="AK172" s="236">
        <v>0</v>
      </c>
      <c r="AL172" s="236">
        <v>0</v>
      </c>
      <c r="AM172" s="236"/>
      <c r="AN172" s="236"/>
      <c r="AO172" s="236"/>
      <c r="AP172" s="236"/>
      <c r="AQ172" s="236">
        <v>555759179</v>
      </c>
      <c r="AR172" s="236" t="s">
        <v>193</v>
      </c>
      <c r="AS172" s="236" t="s">
        <v>193</v>
      </c>
      <c r="AT172" s="236"/>
      <c r="AU172" s="199"/>
      <c r="AV172" s="236"/>
      <c r="AW172" s="236"/>
    </row>
    <row r="173" spans="1:49" ht="30.75">
      <c r="A173" s="236" t="s">
        <v>169</v>
      </c>
      <c r="B173" s="236">
        <v>4482</v>
      </c>
      <c r="C173" s="236" t="s">
        <v>876</v>
      </c>
      <c r="D173" s="236"/>
      <c r="E173" s="236" t="s">
        <v>877</v>
      </c>
      <c r="F173" s="276" t="s">
        <v>54</v>
      </c>
      <c r="G173" s="276" t="s">
        <v>173</v>
      </c>
      <c r="H173" s="236" t="s">
        <v>270</v>
      </c>
      <c r="I173" s="199" t="s">
        <v>878</v>
      </c>
      <c r="J173" s="236" t="s">
        <v>879</v>
      </c>
      <c r="K173" s="236">
        <v>4.5999999999999996</v>
      </c>
      <c r="L173" s="277" t="s">
        <v>190</v>
      </c>
      <c r="M173" s="276">
        <v>2014</v>
      </c>
      <c r="N173" s="276">
        <v>2014</v>
      </c>
      <c r="O173" s="236" t="s">
        <v>193</v>
      </c>
      <c r="P173" s="236" t="s">
        <v>199</v>
      </c>
      <c r="Q173" s="236" t="s">
        <v>199</v>
      </c>
      <c r="R173" s="238" t="s">
        <v>181</v>
      </c>
      <c r="S173" s="236">
        <v>1</v>
      </c>
      <c r="T173" s="236">
        <v>5</v>
      </c>
      <c r="U173" s="236">
        <v>5</v>
      </c>
      <c r="V173" s="236"/>
      <c r="W173" s="236">
        <v>0</v>
      </c>
      <c r="X173" s="236">
        <v>0</v>
      </c>
      <c r="Y173" s="236">
        <v>0</v>
      </c>
      <c r="Z173" s="236">
        <v>5</v>
      </c>
      <c r="AA173" s="236">
        <v>0</v>
      </c>
      <c r="AB173" s="236">
        <v>0</v>
      </c>
      <c r="AC173" s="236">
        <v>0</v>
      </c>
      <c r="AD173" s="236" t="s">
        <v>145</v>
      </c>
      <c r="AE173" s="236">
        <v>0</v>
      </c>
      <c r="AF173" s="236" t="s">
        <v>208</v>
      </c>
      <c r="AG173" s="236">
        <v>0</v>
      </c>
      <c r="AH173" s="236">
        <v>1</v>
      </c>
      <c r="AI173" s="236"/>
      <c r="AJ173" s="236">
        <v>0</v>
      </c>
      <c r="AK173" s="236">
        <v>0</v>
      </c>
      <c r="AL173" s="236">
        <v>0</v>
      </c>
      <c r="AM173" s="236"/>
      <c r="AN173" s="236"/>
      <c r="AO173" s="236"/>
      <c r="AP173" s="236"/>
      <c r="AQ173" s="236">
        <v>555759181</v>
      </c>
      <c r="AR173" s="236" t="s">
        <v>193</v>
      </c>
      <c r="AS173" s="236" t="s">
        <v>193</v>
      </c>
      <c r="AT173" s="236" t="s">
        <v>180</v>
      </c>
      <c r="AU173" s="199"/>
      <c r="AV173" s="236"/>
      <c r="AW173" s="236"/>
    </row>
    <row r="174" spans="1:49" s="240" customFormat="1">
      <c r="A174" s="276" t="s">
        <v>169</v>
      </c>
      <c r="B174" s="236">
        <v>3960</v>
      </c>
      <c r="C174" s="236" t="s">
        <v>880</v>
      </c>
      <c r="D174" s="276"/>
      <c r="E174" s="276" t="s">
        <v>881</v>
      </c>
      <c r="F174" s="276" t="s">
        <v>54</v>
      </c>
      <c r="G174" s="197" t="s">
        <v>220</v>
      </c>
      <c r="H174" s="236" t="s">
        <v>270</v>
      </c>
      <c r="I174" s="197" t="s">
        <v>882</v>
      </c>
      <c r="J174" s="236" t="s">
        <v>883</v>
      </c>
      <c r="K174" s="276">
        <v>4987.1499999999996</v>
      </c>
      <c r="L174" s="277" t="s">
        <v>190</v>
      </c>
      <c r="M174" s="276">
        <v>2014</v>
      </c>
      <c r="N174" s="236">
        <v>2014</v>
      </c>
      <c r="O174" s="236" t="s">
        <v>193</v>
      </c>
      <c r="P174" s="276" t="s">
        <v>180</v>
      </c>
      <c r="Q174" s="236" t="s">
        <v>199</v>
      </c>
      <c r="R174" s="277"/>
      <c r="S174" s="236">
        <v>1</v>
      </c>
      <c r="T174" s="237">
        <v>5255</v>
      </c>
      <c r="U174" s="237">
        <v>5255</v>
      </c>
      <c r="V174" s="236"/>
      <c r="W174" s="236">
        <v>0</v>
      </c>
      <c r="X174" s="236">
        <v>0</v>
      </c>
      <c r="Y174" s="236">
        <v>0</v>
      </c>
      <c r="Z174" s="237">
        <v>5255</v>
      </c>
      <c r="AA174" s="236">
        <v>0</v>
      </c>
      <c r="AB174" s="236">
        <v>0</v>
      </c>
      <c r="AC174" s="236">
        <v>0</v>
      </c>
      <c r="AD174" s="236" t="s">
        <v>145</v>
      </c>
      <c r="AE174" s="236">
        <v>0</v>
      </c>
      <c r="AF174" s="236" t="s">
        <v>208</v>
      </c>
      <c r="AG174" s="236">
        <v>0</v>
      </c>
      <c r="AH174" s="236">
        <v>1</v>
      </c>
      <c r="AI174" s="236"/>
      <c r="AJ174" s="236">
        <v>0</v>
      </c>
      <c r="AK174" s="236">
        <v>0</v>
      </c>
      <c r="AL174" s="236">
        <v>0</v>
      </c>
      <c r="AM174" s="236"/>
      <c r="AN174" s="236"/>
      <c r="AO174" s="236"/>
      <c r="AP174" s="236"/>
      <c r="AQ174" s="236">
        <v>555682093</v>
      </c>
      <c r="AR174" s="276" t="s">
        <v>884</v>
      </c>
      <c r="AS174" s="276"/>
      <c r="AT174" s="276" t="s">
        <v>180</v>
      </c>
      <c r="AU174" s="250" t="s">
        <v>792</v>
      </c>
      <c r="AV174" s="276"/>
      <c r="AW174" s="236"/>
    </row>
    <row r="175" spans="1:49" s="240" customFormat="1">
      <c r="A175" s="276" t="s">
        <v>169</v>
      </c>
      <c r="B175" s="236">
        <v>3211</v>
      </c>
      <c r="C175" s="236" t="s">
        <v>885</v>
      </c>
      <c r="D175" s="276"/>
      <c r="E175" s="276" t="s">
        <v>886</v>
      </c>
      <c r="F175" s="276" t="s">
        <v>54</v>
      </c>
      <c r="G175" s="197" t="s">
        <v>220</v>
      </c>
      <c r="H175" s="236" t="s">
        <v>270</v>
      </c>
      <c r="I175" s="197" t="s">
        <v>887</v>
      </c>
      <c r="J175" s="236" t="s">
        <v>774</v>
      </c>
      <c r="K175" s="276">
        <v>21.4</v>
      </c>
      <c r="L175" s="277" t="s">
        <v>190</v>
      </c>
      <c r="M175" s="276">
        <v>2014</v>
      </c>
      <c r="N175" s="236">
        <v>2015</v>
      </c>
      <c r="O175" s="236" t="s">
        <v>193</v>
      </c>
      <c r="P175" s="276" t="s">
        <v>319</v>
      </c>
      <c r="Q175" s="236" t="s">
        <v>199</v>
      </c>
      <c r="R175" s="277"/>
      <c r="S175" s="236">
        <v>1</v>
      </c>
      <c r="T175" s="236">
        <v>21</v>
      </c>
      <c r="U175" s="236">
        <v>21</v>
      </c>
      <c r="V175" s="236"/>
      <c r="W175" s="236">
        <v>0</v>
      </c>
      <c r="X175" s="236">
        <v>0</v>
      </c>
      <c r="Y175" s="236">
        <v>0</v>
      </c>
      <c r="Z175" s="236">
        <v>21</v>
      </c>
      <c r="AA175" s="236">
        <v>0</v>
      </c>
      <c r="AB175" s="236">
        <v>0</v>
      </c>
      <c r="AC175" s="236">
        <v>0</v>
      </c>
      <c r="AD175" s="236" t="s">
        <v>145</v>
      </c>
      <c r="AE175" s="236">
        <v>0</v>
      </c>
      <c r="AF175" s="236" t="s">
        <v>208</v>
      </c>
      <c r="AG175" s="236">
        <v>0</v>
      </c>
      <c r="AH175" s="236">
        <v>1</v>
      </c>
      <c r="AI175" s="236"/>
      <c r="AJ175" s="236">
        <v>0</v>
      </c>
      <c r="AK175" s="236">
        <v>0</v>
      </c>
      <c r="AL175" s="236">
        <v>0</v>
      </c>
      <c r="AM175" s="236"/>
      <c r="AN175" s="236"/>
      <c r="AO175" s="236"/>
      <c r="AP175" s="236"/>
      <c r="AQ175" s="236">
        <v>555599957</v>
      </c>
      <c r="AR175" s="276" t="s">
        <v>193</v>
      </c>
      <c r="AS175" s="276"/>
      <c r="AT175" s="276" t="s">
        <v>180</v>
      </c>
      <c r="AU175" s="250" t="s">
        <v>792</v>
      </c>
      <c r="AV175" s="276"/>
      <c r="AW175" s="236"/>
    </row>
    <row r="176" spans="1:49">
      <c r="A176" s="276" t="s">
        <v>235</v>
      </c>
      <c r="B176" s="276"/>
      <c r="C176" s="276"/>
      <c r="D176" s="276"/>
      <c r="E176" s="276" t="s">
        <v>888</v>
      </c>
      <c r="F176" s="276" t="s">
        <v>172</v>
      </c>
      <c r="G176" s="276" t="s">
        <v>116</v>
      </c>
      <c r="H176" s="236" t="s">
        <v>270</v>
      </c>
      <c r="I176" s="276" t="s">
        <v>889</v>
      </c>
      <c r="J176" s="276" t="s">
        <v>890</v>
      </c>
      <c r="K176" s="276">
        <v>90.9</v>
      </c>
      <c r="L176" s="277" t="s">
        <v>190</v>
      </c>
      <c r="M176" s="276">
        <v>2008</v>
      </c>
      <c r="N176" s="276"/>
      <c r="O176" s="276"/>
      <c r="P176" s="276"/>
      <c r="Q176" s="276"/>
      <c r="R176" s="277"/>
      <c r="S176" s="276"/>
      <c r="T176" s="276"/>
      <c r="U176" s="276"/>
      <c r="V176" s="276"/>
      <c r="W176" s="276">
        <v>0</v>
      </c>
      <c r="X176" s="276">
        <v>0</v>
      </c>
      <c r="Y176" s="276">
        <v>0</v>
      </c>
      <c r="Z176" s="276"/>
      <c r="AA176" s="276">
        <v>0</v>
      </c>
      <c r="AB176" s="276">
        <v>0</v>
      </c>
      <c r="AC176" s="276"/>
      <c r="AD176" s="276"/>
      <c r="AE176" s="276"/>
      <c r="AF176" s="276"/>
      <c r="AG176" s="276"/>
      <c r="AH176" s="276"/>
      <c r="AI176" s="276"/>
      <c r="AJ176" s="276"/>
      <c r="AK176" s="276"/>
      <c r="AL176" s="276"/>
      <c r="AM176" s="276"/>
      <c r="AN176" s="276"/>
      <c r="AO176" s="276"/>
      <c r="AP176" s="276"/>
      <c r="AQ176" s="276"/>
      <c r="AR176" s="276"/>
      <c r="AS176" s="276"/>
      <c r="AT176" s="276"/>
      <c r="AU176" s="276"/>
      <c r="AV176" s="276"/>
      <c r="AW176" s="236"/>
    </row>
    <row r="177" spans="1:49" s="240" customFormat="1" ht="30.75">
      <c r="A177" s="236" t="s">
        <v>169</v>
      </c>
      <c r="B177" s="236">
        <v>4515</v>
      </c>
      <c r="C177" s="236" t="s">
        <v>891</v>
      </c>
      <c r="D177" s="236"/>
      <c r="E177" s="236" t="s">
        <v>892</v>
      </c>
      <c r="F177" s="276" t="s">
        <v>54</v>
      </c>
      <c r="G177" s="276" t="s">
        <v>173</v>
      </c>
      <c r="H177" s="236" t="s">
        <v>270</v>
      </c>
      <c r="I177" s="199" t="s">
        <v>893</v>
      </c>
      <c r="J177" s="236" t="s">
        <v>433</v>
      </c>
      <c r="K177" s="236">
        <v>85.2</v>
      </c>
      <c r="L177" s="277" t="s">
        <v>190</v>
      </c>
      <c r="M177" s="276">
        <v>2015</v>
      </c>
      <c r="N177" s="276">
        <v>2015</v>
      </c>
      <c r="O177" s="236" t="s">
        <v>193</v>
      </c>
      <c r="P177" s="236" t="s">
        <v>199</v>
      </c>
      <c r="Q177" s="236" t="s">
        <v>199</v>
      </c>
      <c r="R177" s="238" t="s">
        <v>181</v>
      </c>
      <c r="S177" s="236">
        <v>1</v>
      </c>
      <c r="T177" s="236">
        <v>86.549802459999995</v>
      </c>
      <c r="U177" s="236">
        <v>86.549802459999995</v>
      </c>
      <c r="V177" s="236"/>
      <c r="W177" s="236">
        <v>0</v>
      </c>
      <c r="X177" s="236">
        <v>0</v>
      </c>
      <c r="Y177" s="236">
        <v>0</v>
      </c>
      <c r="Z177" s="236">
        <v>86.549802459999995</v>
      </c>
      <c r="AA177" s="236">
        <v>0</v>
      </c>
      <c r="AB177" s="236">
        <v>0</v>
      </c>
      <c r="AC177" s="236">
        <v>0</v>
      </c>
      <c r="AD177" s="236" t="s">
        <v>145</v>
      </c>
      <c r="AE177" s="236">
        <v>0</v>
      </c>
      <c r="AF177" s="236" t="s">
        <v>208</v>
      </c>
      <c r="AG177" s="236">
        <v>0</v>
      </c>
      <c r="AH177" s="236">
        <v>1</v>
      </c>
      <c r="AI177" s="236"/>
      <c r="AJ177" s="236">
        <v>0</v>
      </c>
      <c r="AK177" s="236">
        <v>0</v>
      </c>
      <c r="AL177" s="236">
        <v>0</v>
      </c>
      <c r="AM177" s="236"/>
      <c r="AN177" s="236"/>
      <c r="AO177" s="236"/>
      <c r="AP177" s="236"/>
      <c r="AQ177" s="236">
        <v>555759187</v>
      </c>
      <c r="AR177" s="236" t="s">
        <v>193</v>
      </c>
      <c r="AS177" s="236" t="s">
        <v>193</v>
      </c>
      <c r="AT177" s="236" t="s">
        <v>180</v>
      </c>
      <c r="AU177" s="199"/>
      <c r="AV177" s="236"/>
      <c r="AW177" s="236"/>
    </row>
    <row r="178" spans="1:49" s="240" customFormat="1">
      <c r="A178" s="276" t="s">
        <v>169</v>
      </c>
      <c r="B178" s="236">
        <v>3956</v>
      </c>
      <c r="C178" s="236" t="s">
        <v>894</v>
      </c>
      <c r="D178" s="276"/>
      <c r="E178" s="276" t="s">
        <v>895</v>
      </c>
      <c r="F178" s="276" t="s">
        <v>54</v>
      </c>
      <c r="G178" s="197" t="s">
        <v>220</v>
      </c>
      <c r="H178" s="236" t="s">
        <v>270</v>
      </c>
      <c r="I178" s="197" t="s">
        <v>896</v>
      </c>
      <c r="J178" s="236" t="s">
        <v>897</v>
      </c>
      <c r="K178" s="276">
        <v>12</v>
      </c>
      <c r="L178" s="277" t="s">
        <v>190</v>
      </c>
      <c r="M178" s="276">
        <v>2015</v>
      </c>
      <c r="N178" s="236">
        <v>2015</v>
      </c>
      <c r="O178" s="236" t="s">
        <v>193</v>
      </c>
      <c r="P178" s="276" t="s">
        <v>319</v>
      </c>
      <c r="Q178" s="236" t="s">
        <v>199</v>
      </c>
      <c r="R178" s="277"/>
      <c r="S178" s="236">
        <v>1</v>
      </c>
      <c r="T178" s="236">
        <v>11.93462182</v>
      </c>
      <c r="U178" s="236">
        <v>11.93462182</v>
      </c>
      <c r="V178" s="236"/>
      <c r="W178" s="236">
        <v>0</v>
      </c>
      <c r="X178" s="236">
        <v>0</v>
      </c>
      <c r="Y178" s="236">
        <v>0</v>
      </c>
      <c r="Z178" s="236">
        <v>11.93462182</v>
      </c>
      <c r="AA178" s="236">
        <v>0</v>
      </c>
      <c r="AB178" s="236">
        <v>0</v>
      </c>
      <c r="AC178" s="236">
        <v>0</v>
      </c>
      <c r="AD178" s="236" t="s">
        <v>145</v>
      </c>
      <c r="AE178" s="236">
        <v>0</v>
      </c>
      <c r="AF178" s="236" t="s">
        <v>208</v>
      </c>
      <c r="AG178" s="236">
        <v>0</v>
      </c>
      <c r="AH178" s="236">
        <v>1</v>
      </c>
      <c r="AI178" s="236"/>
      <c r="AJ178" s="236">
        <v>0</v>
      </c>
      <c r="AK178" s="236">
        <v>0</v>
      </c>
      <c r="AL178" s="236">
        <v>0</v>
      </c>
      <c r="AM178" s="236"/>
      <c r="AN178" s="236"/>
      <c r="AO178" s="236"/>
      <c r="AP178" s="236"/>
      <c r="AQ178" s="236">
        <v>555682191</v>
      </c>
      <c r="AR178" s="276" t="s">
        <v>193</v>
      </c>
      <c r="AS178" s="276"/>
      <c r="AT178" s="276" t="s">
        <v>180</v>
      </c>
      <c r="AU178" s="250" t="s">
        <v>792</v>
      </c>
      <c r="AV178" s="276"/>
      <c r="AW178" s="236"/>
    </row>
    <row r="179" spans="1:49" s="240" customFormat="1">
      <c r="A179" s="276" t="s">
        <v>169</v>
      </c>
      <c r="B179" s="236">
        <v>3955</v>
      </c>
      <c r="C179" s="236" t="s">
        <v>898</v>
      </c>
      <c r="D179" s="276"/>
      <c r="E179" s="276" t="s">
        <v>899</v>
      </c>
      <c r="F179" s="276" t="s">
        <v>54</v>
      </c>
      <c r="G179" s="197" t="s">
        <v>220</v>
      </c>
      <c r="H179" s="236" t="s">
        <v>270</v>
      </c>
      <c r="I179" s="197" t="s">
        <v>900</v>
      </c>
      <c r="J179" s="236" t="s">
        <v>897</v>
      </c>
      <c r="K179" s="276">
        <v>18.36</v>
      </c>
      <c r="L179" s="277" t="s">
        <v>190</v>
      </c>
      <c r="M179" s="276">
        <v>2015</v>
      </c>
      <c r="N179" s="236">
        <v>2015</v>
      </c>
      <c r="O179" s="236" t="s">
        <v>193</v>
      </c>
      <c r="P179" s="276" t="s">
        <v>319</v>
      </c>
      <c r="Q179" s="236" t="s">
        <v>199</v>
      </c>
      <c r="R179" s="277"/>
      <c r="S179" s="236">
        <v>1</v>
      </c>
      <c r="T179" s="236">
        <v>18</v>
      </c>
      <c r="U179" s="236">
        <v>18</v>
      </c>
      <c r="V179" s="236"/>
      <c r="W179" s="236">
        <v>0</v>
      </c>
      <c r="X179" s="236">
        <v>0</v>
      </c>
      <c r="Y179" s="236">
        <v>0</v>
      </c>
      <c r="Z179" s="236">
        <v>18</v>
      </c>
      <c r="AA179" s="236">
        <v>0</v>
      </c>
      <c r="AB179" s="236">
        <v>0</v>
      </c>
      <c r="AC179" s="236">
        <v>0</v>
      </c>
      <c r="AD179" s="236" t="s">
        <v>145</v>
      </c>
      <c r="AE179" s="236">
        <v>0</v>
      </c>
      <c r="AF179" s="236" t="s">
        <v>208</v>
      </c>
      <c r="AG179" s="236">
        <v>0</v>
      </c>
      <c r="AH179" s="236">
        <v>1</v>
      </c>
      <c r="AI179" s="236"/>
      <c r="AJ179" s="236">
        <v>0</v>
      </c>
      <c r="AK179" s="236">
        <v>0</v>
      </c>
      <c r="AL179" s="236">
        <v>0</v>
      </c>
      <c r="AM179" s="236"/>
      <c r="AN179" s="236"/>
      <c r="AO179" s="236"/>
      <c r="AP179" s="236"/>
      <c r="AQ179" s="236">
        <v>555682118</v>
      </c>
      <c r="AR179" s="276" t="s">
        <v>193</v>
      </c>
      <c r="AS179" s="276"/>
      <c r="AT179" s="276" t="s">
        <v>180</v>
      </c>
      <c r="AU179" s="250" t="s">
        <v>792</v>
      </c>
      <c r="AV179" s="276"/>
      <c r="AW179" s="236"/>
    </row>
    <row r="180" spans="1:49" s="240" customFormat="1" ht="30.75">
      <c r="A180" s="276" t="s">
        <v>169</v>
      </c>
      <c r="B180" s="236">
        <v>3626</v>
      </c>
      <c r="C180" s="236" t="s">
        <v>901</v>
      </c>
      <c r="D180" s="276"/>
      <c r="E180" s="276" t="s">
        <v>902</v>
      </c>
      <c r="F180" s="276" t="s">
        <v>172</v>
      </c>
      <c r="G180" s="276" t="s">
        <v>116</v>
      </c>
      <c r="H180" s="236" t="s">
        <v>174</v>
      </c>
      <c r="I180" s="276" t="s">
        <v>903</v>
      </c>
      <c r="J180" s="236" t="s">
        <v>548</v>
      </c>
      <c r="K180" s="276">
        <v>6.27</v>
      </c>
      <c r="L180" s="277" t="s">
        <v>190</v>
      </c>
      <c r="M180" s="276">
        <v>2015</v>
      </c>
      <c r="N180" s="276">
        <v>2015</v>
      </c>
      <c r="O180" s="197" t="s">
        <v>193</v>
      </c>
      <c r="P180" s="200" t="s">
        <v>180</v>
      </c>
      <c r="Q180" s="236" t="s">
        <v>121</v>
      </c>
      <c r="R180" s="277" t="s">
        <v>671</v>
      </c>
      <c r="S180" s="236">
        <v>1</v>
      </c>
      <c r="T180" s="236">
        <v>9</v>
      </c>
      <c r="U180" s="236">
        <v>9</v>
      </c>
      <c r="V180" s="236"/>
      <c r="W180" s="236">
        <v>0</v>
      </c>
      <c r="X180" s="236">
        <v>0</v>
      </c>
      <c r="Y180" s="236">
        <v>0</v>
      </c>
      <c r="Z180" s="236">
        <v>9</v>
      </c>
      <c r="AA180" s="236">
        <v>0</v>
      </c>
      <c r="AB180" s="236">
        <v>0</v>
      </c>
      <c r="AC180" s="236">
        <v>0</v>
      </c>
      <c r="AD180" s="236" t="s">
        <v>145</v>
      </c>
      <c r="AE180" s="236">
        <v>0</v>
      </c>
      <c r="AF180" s="236" t="s">
        <v>182</v>
      </c>
      <c r="AG180" s="236">
        <v>1</v>
      </c>
      <c r="AH180" s="236">
        <v>0</v>
      </c>
      <c r="AI180" s="236"/>
      <c r="AJ180" s="236">
        <v>0</v>
      </c>
      <c r="AK180" s="236">
        <v>1</v>
      </c>
      <c r="AL180" s="236">
        <v>1</v>
      </c>
      <c r="AM180" s="236"/>
      <c r="AN180" s="236"/>
      <c r="AO180" s="236"/>
      <c r="AP180" s="236"/>
      <c r="AQ180" s="236">
        <v>555682198</v>
      </c>
      <c r="AR180" s="276"/>
      <c r="AS180" s="276"/>
      <c r="AT180" s="276" t="s">
        <v>180</v>
      </c>
      <c r="AU180" s="250" t="s">
        <v>904</v>
      </c>
      <c r="AV180" s="276"/>
      <c r="AW180" s="236"/>
    </row>
    <row r="181" spans="1:49" s="240" customFormat="1" ht="30.75">
      <c r="A181" s="276" t="s">
        <v>169</v>
      </c>
      <c r="B181" s="236">
        <v>3401</v>
      </c>
      <c r="C181" s="236" t="s">
        <v>905</v>
      </c>
      <c r="D181" s="276"/>
      <c r="E181" s="276" t="s">
        <v>906</v>
      </c>
      <c r="F181" s="276" t="s">
        <v>172</v>
      </c>
      <c r="G181" s="276" t="s">
        <v>116</v>
      </c>
      <c r="H181" s="236" t="s">
        <v>174</v>
      </c>
      <c r="I181" s="276" t="s">
        <v>907</v>
      </c>
      <c r="J181" s="236" t="s">
        <v>908</v>
      </c>
      <c r="K181" s="276">
        <v>41.128999999999998</v>
      </c>
      <c r="L181" s="277" t="s">
        <v>190</v>
      </c>
      <c r="M181" s="276">
        <v>2015</v>
      </c>
      <c r="N181" s="276">
        <v>2016</v>
      </c>
      <c r="O181" s="276" t="s">
        <v>909</v>
      </c>
      <c r="P181" s="236" t="s">
        <v>199</v>
      </c>
      <c r="Q181" s="236" t="s">
        <v>199</v>
      </c>
      <c r="R181" s="277" t="s">
        <v>910</v>
      </c>
      <c r="S181" s="236">
        <v>1</v>
      </c>
      <c r="T181" s="236">
        <v>41</v>
      </c>
      <c r="U181" s="236">
        <v>41</v>
      </c>
      <c r="V181" s="236"/>
      <c r="W181" s="236">
        <v>0</v>
      </c>
      <c r="X181" s="236">
        <v>0</v>
      </c>
      <c r="Y181" s="236">
        <v>0</v>
      </c>
      <c r="Z181" s="236">
        <v>41</v>
      </c>
      <c r="AA181" s="236">
        <v>0</v>
      </c>
      <c r="AB181" s="236">
        <v>0</v>
      </c>
      <c r="AC181" s="236">
        <v>0</v>
      </c>
      <c r="AD181" s="236" t="s">
        <v>145</v>
      </c>
      <c r="AE181" s="236">
        <v>0</v>
      </c>
      <c r="AF181" s="236" t="s">
        <v>182</v>
      </c>
      <c r="AG181" s="236">
        <v>1</v>
      </c>
      <c r="AH181" s="236">
        <v>0</v>
      </c>
      <c r="AI181" s="236"/>
      <c r="AJ181" s="236">
        <v>0</v>
      </c>
      <c r="AK181" s="236">
        <v>0</v>
      </c>
      <c r="AL181" s="236">
        <v>0</v>
      </c>
      <c r="AM181" s="236"/>
      <c r="AN181" s="236"/>
      <c r="AO181" s="236"/>
      <c r="AP181" s="236"/>
      <c r="AQ181" s="236">
        <v>555636590</v>
      </c>
      <c r="AR181" s="276"/>
      <c r="AS181" s="276"/>
      <c r="AT181" s="276" t="s">
        <v>180</v>
      </c>
      <c r="AU181" s="250" t="s">
        <v>911</v>
      </c>
      <c r="AV181" s="276"/>
      <c r="AW181" s="236"/>
    </row>
    <row r="182" spans="1:49">
      <c r="A182" s="276" t="s">
        <v>235</v>
      </c>
      <c r="B182" s="276"/>
      <c r="C182" s="276"/>
      <c r="D182" s="276"/>
      <c r="E182" s="197" t="s">
        <v>912</v>
      </c>
      <c r="F182" s="276" t="s">
        <v>229</v>
      </c>
      <c r="G182" s="276" t="s">
        <v>116</v>
      </c>
      <c r="H182" s="236" t="s">
        <v>270</v>
      </c>
      <c r="I182" s="204" t="s">
        <v>649</v>
      </c>
      <c r="J182" s="203" t="s">
        <v>913</v>
      </c>
      <c r="K182" s="276">
        <v>113</v>
      </c>
      <c r="L182" s="277" t="s">
        <v>190</v>
      </c>
      <c r="M182" s="204" t="s">
        <v>368</v>
      </c>
      <c r="N182" s="204"/>
      <c r="O182" s="204"/>
      <c r="P182" s="276"/>
      <c r="Q182" s="276"/>
      <c r="R182" s="277"/>
      <c r="S182" s="276"/>
      <c r="T182" s="276"/>
      <c r="U182" s="276"/>
      <c r="V182" s="276"/>
      <c r="W182" s="276"/>
      <c r="X182" s="276"/>
      <c r="Y182" s="276"/>
      <c r="Z182" s="276"/>
      <c r="AA182" s="276"/>
      <c r="AB182" s="276"/>
      <c r="AC182" s="276"/>
      <c r="AD182" s="276"/>
      <c r="AE182" s="276"/>
      <c r="AF182" s="276"/>
      <c r="AG182" s="276"/>
      <c r="AH182" s="276"/>
      <c r="AI182" s="276"/>
      <c r="AJ182" s="276"/>
      <c r="AK182" s="276"/>
      <c r="AL182" s="276"/>
      <c r="AM182" s="276"/>
      <c r="AN182" s="276"/>
      <c r="AO182" s="276"/>
      <c r="AP182" s="276"/>
      <c r="AQ182" s="276"/>
      <c r="AR182" s="276"/>
      <c r="AS182" s="276"/>
      <c r="AT182" s="276"/>
      <c r="AU182" s="204"/>
      <c r="AV182" s="276"/>
      <c r="AW182" s="236"/>
    </row>
    <row r="183" spans="1:49">
      <c r="A183" s="276" t="s">
        <v>235</v>
      </c>
      <c r="B183" s="276"/>
      <c r="C183" s="276"/>
      <c r="D183" s="276"/>
      <c r="E183" s="276" t="s">
        <v>914</v>
      </c>
      <c r="F183" s="277" t="s">
        <v>257</v>
      </c>
      <c r="G183" s="276" t="s">
        <v>116</v>
      </c>
      <c r="H183" s="198" t="s">
        <v>258</v>
      </c>
      <c r="I183" s="276" t="s">
        <v>915</v>
      </c>
      <c r="J183" s="276" t="s">
        <v>916</v>
      </c>
      <c r="K183" s="276">
        <v>65</v>
      </c>
      <c r="L183" s="277" t="s">
        <v>190</v>
      </c>
      <c r="M183" s="276">
        <v>2008</v>
      </c>
      <c r="N183" s="276"/>
      <c r="O183" s="276"/>
      <c r="P183" s="276"/>
      <c r="Q183" s="276"/>
      <c r="R183" s="277"/>
      <c r="S183" s="276"/>
      <c r="T183" s="276"/>
      <c r="U183" s="276"/>
      <c r="V183" s="276"/>
      <c r="W183" s="276"/>
      <c r="X183" s="276"/>
      <c r="Y183" s="276"/>
      <c r="Z183" s="276"/>
      <c r="AA183" s="276"/>
      <c r="AB183" s="276"/>
      <c r="AC183" s="276"/>
      <c r="AD183" s="276"/>
      <c r="AE183" s="276"/>
      <c r="AF183" s="276"/>
      <c r="AG183" s="276"/>
      <c r="AH183" s="276"/>
      <c r="AI183" s="276"/>
      <c r="AJ183" s="276"/>
      <c r="AK183" s="276"/>
      <c r="AL183" s="276"/>
      <c r="AM183" s="276"/>
      <c r="AN183" s="276"/>
      <c r="AO183" s="276"/>
      <c r="AP183" s="276"/>
      <c r="AQ183" s="276"/>
      <c r="AR183" s="276"/>
      <c r="AS183" s="276"/>
      <c r="AT183" s="276" t="s">
        <v>180</v>
      </c>
      <c r="AU183" s="276"/>
      <c r="AV183" s="276"/>
      <c r="AW183" s="236"/>
    </row>
    <row r="184" spans="1:49" s="6" customFormat="1">
      <c r="A184" s="276" t="s">
        <v>235</v>
      </c>
      <c r="B184" s="276"/>
      <c r="C184" s="276"/>
      <c r="D184" s="276"/>
      <c r="E184" s="276" t="s">
        <v>917</v>
      </c>
      <c r="F184" s="277" t="s">
        <v>257</v>
      </c>
      <c r="G184" s="276" t="s">
        <v>116</v>
      </c>
      <c r="H184" s="198" t="s">
        <v>258</v>
      </c>
      <c r="I184" s="276" t="s">
        <v>918</v>
      </c>
      <c r="J184" s="276" t="s">
        <v>916</v>
      </c>
      <c r="K184" s="276" t="s">
        <v>368</v>
      </c>
      <c r="L184" s="277" t="s">
        <v>190</v>
      </c>
      <c r="M184" s="276">
        <v>2023</v>
      </c>
      <c r="N184" s="276"/>
      <c r="O184" s="276"/>
      <c r="P184" s="276"/>
      <c r="Q184" s="276"/>
      <c r="R184" s="277"/>
      <c r="S184" s="276"/>
      <c r="T184" s="276"/>
      <c r="U184" s="276"/>
      <c r="V184" s="276"/>
      <c r="W184" s="276"/>
      <c r="X184" s="276"/>
      <c r="Y184" s="276"/>
      <c r="Z184" s="276"/>
      <c r="AA184" s="276"/>
      <c r="AB184" s="276"/>
      <c r="AC184" s="276"/>
      <c r="AD184" s="276"/>
      <c r="AE184" s="276"/>
      <c r="AF184" s="276"/>
      <c r="AG184" s="276"/>
      <c r="AH184" s="276"/>
      <c r="AI184" s="276"/>
      <c r="AJ184" s="276"/>
      <c r="AK184" s="276"/>
      <c r="AL184" s="276"/>
      <c r="AM184" s="276"/>
      <c r="AN184" s="276"/>
      <c r="AO184" s="276"/>
      <c r="AP184" s="276"/>
      <c r="AQ184" s="276"/>
      <c r="AR184" s="276"/>
      <c r="AS184" s="276"/>
      <c r="AT184" s="276" t="s">
        <v>180</v>
      </c>
      <c r="AU184" s="276"/>
      <c r="AV184" s="276"/>
      <c r="AW184" s="236"/>
    </row>
    <row r="185" spans="1:49" s="240" customFormat="1" ht="30.75">
      <c r="A185" s="236" t="s">
        <v>169</v>
      </c>
      <c r="B185" s="236">
        <v>3670</v>
      </c>
      <c r="C185" s="236" t="s">
        <v>919</v>
      </c>
      <c r="D185" s="236"/>
      <c r="E185" s="236" t="s">
        <v>920</v>
      </c>
      <c r="F185" s="276" t="s">
        <v>54</v>
      </c>
      <c r="G185" s="276" t="s">
        <v>173</v>
      </c>
      <c r="H185" s="236" t="s">
        <v>270</v>
      </c>
      <c r="I185" s="199" t="s">
        <v>921</v>
      </c>
      <c r="J185" s="236" t="s">
        <v>523</v>
      </c>
      <c r="K185" s="236">
        <v>1.79</v>
      </c>
      <c r="L185" s="277" t="s">
        <v>190</v>
      </c>
      <c r="M185" s="276">
        <v>2016</v>
      </c>
      <c r="N185" s="276">
        <v>2016</v>
      </c>
      <c r="O185" s="236" t="s">
        <v>193</v>
      </c>
      <c r="P185" s="236" t="s">
        <v>199</v>
      </c>
      <c r="Q185" s="236" t="s">
        <v>199</v>
      </c>
      <c r="R185" s="238" t="s">
        <v>181</v>
      </c>
      <c r="S185" s="236">
        <v>1</v>
      </c>
      <c r="T185" s="236">
        <v>2</v>
      </c>
      <c r="U185" s="236">
        <v>2</v>
      </c>
      <c r="V185" s="236"/>
      <c r="W185" s="236">
        <v>0</v>
      </c>
      <c r="X185" s="236">
        <v>0</v>
      </c>
      <c r="Y185" s="236">
        <v>0</v>
      </c>
      <c r="Z185" s="236">
        <v>2</v>
      </c>
      <c r="AA185" s="236">
        <v>0</v>
      </c>
      <c r="AB185" s="236">
        <v>0</v>
      </c>
      <c r="AC185" s="236">
        <v>0</v>
      </c>
      <c r="AD185" s="236" t="s">
        <v>145</v>
      </c>
      <c r="AE185" s="236">
        <v>0</v>
      </c>
      <c r="AF185" s="236" t="s">
        <v>208</v>
      </c>
      <c r="AG185" s="236">
        <v>0</v>
      </c>
      <c r="AH185" s="236">
        <v>1</v>
      </c>
      <c r="AI185" s="236"/>
      <c r="AJ185" s="236">
        <v>0</v>
      </c>
      <c r="AK185" s="236">
        <v>0</v>
      </c>
      <c r="AL185" s="236">
        <v>0</v>
      </c>
      <c r="AM185" s="236"/>
      <c r="AN185" s="236"/>
      <c r="AO185" s="236"/>
      <c r="AP185" s="236"/>
      <c r="AQ185" s="236">
        <v>555682861</v>
      </c>
      <c r="AR185" s="236" t="s">
        <v>193</v>
      </c>
      <c r="AS185" s="236" t="s">
        <v>193</v>
      </c>
      <c r="AT185" s="236" t="s">
        <v>180</v>
      </c>
      <c r="AU185" s="199"/>
      <c r="AV185" s="236"/>
      <c r="AW185" s="236"/>
    </row>
    <row r="186" spans="1:49" s="240" customFormat="1" ht="30.75">
      <c r="A186" s="238" t="s">
        <v>169</v>
      </c>
      <c r="B186" s="236">
        <v>3672</v>
      </c>
      <c r="C186" s="236" t="s">
        <v>922</v>
      </c>
      <c r="D186" s="236"/>
      <c r="E186" s="236" t="s">
        <v>923</v>
      </c>
      <c r="F186" s="277" t="s">
        <v>54</v>
      </c>
      <c r="G186" s="277" t="s">
        <v>173</v>
      </c>
      <c r="H186" s="236" t="s">
        <v>270</v>
      </c>
      <c r="I186" s="201" t="s">
        <v>924</v>
      </c>
      <c r="J186" s="236" t="s">
        <v>710</v>
      </c>
      <c r="K186" s="236">
        <v>28.64</v>
      </c>
      <c r="L186" s="277" t="s">
        <v>190</v>
      </c>
      <c r="M186" s="277">
        <v>2016</v>
      </c>
      <c r="N186" s="276">
        <v>2016</v>
      </c>
      <c r="O186" s="236" t="s">
        <v>193</v>
      </c>
      <c r="P186" s="236" t="s">
        <v>199</v>
      </c>
      <c r="Q186" s="236" t="s">
        <v>199</v>
      </c>
      <c r="R186" s="238" t="s">
        <v>181</v>
      </c>
      <c r="S186" s="236">
        <v>1</v>
      </c>
      <c r="T186" s="236">
        <v>29</v>
      </c>
      <c r="U186" s="236">
        <v>29</v>
      </c>
      <c r="V186" s="236"/>
      <c r="W186" s="236">
        <v>0</v>
      </c>
      <c r="X186" s="236">
        <v>0</v>
      </c>
      <c r="Y186" s="236">
        <v>0</v>
      </c>
      <c r="Z186" s="236">
        <v>29</v>
      </c>
      <c r="AA186" s="236">
        <v>0</v>
      </c>
      <c r="AB186" s="236">
        <v>0</v>
      </c>
      <c r="AC186" s="236">
        <v>0</v>
      </c>
      <c r="AD186" s="236" t="s">
        <v>145</v>
      </c>
      <c r="AE186" s="236">
        <v>0</v>
      </c>
      <c r="AF186" s="236" t="s">
        <v>208</v>
      </c>
      <c r="AG186" s="236">
        <v>0</v>
      </c>
      <c r="AH186" s="236">
        <v>1</v>
      </c>
      <c r="AI186" s="236"/>
      <c r="AJ186" s="236">
        <v>0</v>
      </c>
      <c r="AK186" s="236">
        <v>0</v>
      </c>
      <c r="AL186" s="236">
        <v>0</v>
      </c>
      <c r="AM186" s="236"/>
      <c r="AN186" s="236"/>
      <c r="AO186" s="236"/>
      <c r="AP186" s="236"/>
      <c r="AQ186" s="236">
        <v>555682077</v>
      </c>
      <c r="AR186" s="236" t="s">
        <v>193</v>
      </c>
      <c r="AS186" s="236" t="s">
        <v>193</v>
      </c>
      <c r="AT186" s="236" t="s">
        <v>180</v>
      </c>
      <c r="AU186" s="199"/>
      <c r="AV186" s="236"/>
      <c r="AW186" s="236"/>
    </row>
    <row r="187" spans="1:49" s="240" customFormat="1" ht="30.75">
      <c r="A187" s="236" t="s">
        <v>169</v>
      </c>
      <c r="B187" s="236">
        <v>3683</v>
      </c>
      <c r="C187" s="236" t="s">
        <v>925</v>
      </c>
      <c r="D187" s="236"/>
      <c r="E187" s="236" t="s">
        <v>926</v>
      </c>
      <c r="F187" s="276" t="s">
        <v>54</v>
      </c>
      <c r="G187" s="276" t="s">
        <v>173</v>
      </c>
      <c r="H187" s="236" t="s">
        <v>270</v>
      </c>
      <c r="I187" s="199" t="s">
        <v>927</v>
      </c>
      <c r="J187" s="236" t="s">
        <v>266</v>
      </c>
      <c r="K187" s="236">
        <v>74.05</v>
      </c>
      <c r="L187" s="277" t="s">
        <v>190</v>
      </c>
      <c r="M187" s="276">
        <v>2016</v>
      </c>
      <c r="N187" s="276">
        <v>2016</v>
      </c>
      <c r="O187" s="236" t="s">
        <v>193</v>
      </c>
      <c r="P187" s="236" t="s">
        <v>199</v>
      </c>
      <c r="Q187" s="236" t="s">
        <v>199</v>
      </c>
      <c r="R187" s="238" t="s">
        <v>181</v>
      </c>
      <c r="S187" s="236">
        <v>1</v>
      </c>
      <c r="T187" s="236">
        <v>76</v>
      </c>
      <c r="U187" s="236">
        <v>76</v>
      </c>
      <c r="V187" s="236"/>
      <c r="W187" s="236">
        <v>0</v>
      </c>
      <c r="X187" s="236">
        <v>0</v>
      </c>
      <c r="Y187" s="236">
        <v>0</v>
      </c>
      <c r="Z187" s="236">
        <v>76</v>
      </c>
      <c r="AA187" s="236">
        <v>0</v>
      </c>
      <c r="AB187" s="236">
        <v>0</v>
      </c>
      <c r="AC187" s="236">
        <v>0</v>
      </c>
      <c r="AD187" s="236" t="s">
        <v>145</v>
      </c>
      <c r="AE187" s="236">
        <v>0</v>
      </c>
      <c r="AF187" s="236" t="s">
        <v>208</v>
      </c>
      <c r="AG187" s="236">
        <v>0</v>
      </c>
      <c r="AH187" s="236">
        <v>1</v>
      </c>
      <c r="AI187" s="236"/>
      <c r="AJ187" s="236">
        <v>0</v>
      </c>
      <c r="AK187" s="236">
        <v>1</v>
      </c>
      <c r="AL187" s="236">
        <v>1</v>
      </c>
      <c r="AM187" s="236"/>
      <c r="AN187" s="236"/>
      <c r="AO187" s="236"/>
      <c r="AP187" s="236"/>
      <c r="AQ187" s="236">
        <v>555682382</v>
      </c>
      <c r="AR187" s="236" t="s">
        <v>193</v>
      </c>
      <c r="AS187" s="236" t="s">
        <v>193</v>
      </c>
      <c r="AT187" s="236" t="s">
        <v>180</v>
      </c>
      <c r="AU187" s="199"/>
      <c r="AV187" s="236"/>
      <c r="AW187" s="236"/>
    </row>
    <row r="188" spans="1:49" s="240" customFormat="1">
      <c r="A188" s="276" t="s">
        <v>169</v>
      </c>
      <c r="B188" s="236">
        <v>3958</v>
      </c>
      <c r="C188" s="236" t="s">
        <v>928</v>
      </c>
      <c r="D188" s="276"/>
      <c r="E188" s="276" t="s">
        <v>929</v>
      </c>
      <c r="F188" s="276" t="s">
        <v>54</v>
      </c>
      <c r="G188" s="197" t="s">
        <v>220</v>
      </c>
      <c r="H188" s="236" t="s">
        <v>270</v>
      </c>
      <c r="I188" s="197" t="s">
        <v>930</v>
      </c>
      <c r="J188" s="236" t="s">
        <v>931</v>
      </c>
      <c r="K188" s="276">
        <v>0.78</v>
      </c>
      <c r="L188" s="277" t="s">
        <v>190</v>
      </c>
      <c r="M188" s="276">
        <v>2016</v>
      </c>
      <c r="N188" s="236">
        <v>2016</v>
      </c>
      <c r="O188" s="236" t="s">
        <v>193</v>
      </c>
      <c r="P188" s="276" t="s">
        <v>319</v>
      </c>
      <c r="Q188" s="236" t="s">
        <v>199</v>
      </c>
      <c r="R188" s="277"/>
      <c r="S188" s="236">
        <v>1</v>
      </c>
      <c r="T188" s="236">
        <v>8</v>
      </c>
      <c r="U188" s="236">
        <v>8</v>
      </c>
      <c r="V188" s="236"/>
      <c r="W188" s="236">
        <v>0</v>
      </c>
      <c r="X188" s="236">
        <v>0</v>
      </c>
      <c r="Y188" s="236">
        <v>0</v>
      </c>
      <c r="Z188" s="236">
        <v>8</v>
      </c>
      <c r="AA188" s="236">
        <v>0</v>
      </c>
      <c r="AB188" s="236">
        <v>0</v>
      </c>
      <c r="AC188" s="236">
        <v>0</v>
      </c>
      <c r="AD188" s="236" t="s">
        <v>145</v>
      </c>
      <c r="AE188" s="236">
        <v>0</v>
      </c>
      <c r="AF188" s="236" t="s">
        <v>208</v>
      </c>
      <c r="AG188" s="236">
        <v>0</v>
      </c>
      <c r="AH188" s="236">
        <v>1</v>
      </c>
      <c r="AI188" s="236"/>
      <c r="AJ188" s="236">
        <v>0</v>
      </c>
      <c r="AK188" s="236">
        <v>0</v>
      </c>
      <c r="AL188" s="236">
        <v>0</v>
      </c>
      <c r="AM188" s="236"/>
      <c r="AN188" s="236"/>
      <c r="AO188" s="236"/>
      <c r="AP188" s="236"/>
      <c r="AQ188" s="236">
        <v>555682174</v>
      </c>
      <c r="AR188" s="276" t="s">
        <v>193</v>
      </c>
      <c r="AS188" s="276"/>
      <c r="AT188" s="276" t="s">
        <v>180</v>
      </c>
      <c r="AU188" s="250" t="s">
        <v>792</v>
      </c>
      <c r="AV188" s="276"/>
      <c r="AW188" s="236"/>
    </row>
    <row r="189" spans="1:49" s="240" customFormat="1" ht="30.75">
      <c r="A189" s="276" t="s">
        <v>169</v>
      </c>
      <c r="B189" s="236">
        <v>3430</v>
      </c>
      <c r="C189" s="236" t="s">
        <v>932</v>
      </c>
      <c r="D189" s="276"/>
      <c r="E189" s="276" t="s">
        <v>933</v>
      </c>
      <c r="F189" s="276" t="s">
        <v>172</v>
      </c>
      <c r="G189" s="276" t="s">
        <v>116</v>
      </c>
      <c r="H189" s="236" t="s">
        <v>174</v>
      </c>
      <c r="I189" s="276" t="s">
        <v>934</v>
      </c>
      <c r="J189" s="236" t="s">
        <v>266</v>
      </c>
      <c r="K189" s="197">
        <v>221.07</v>
      </c>
      <c r="L189" s="277" t="s">
        <v>190</v>
      </c>
      <c r="M189" s="197">
        <v>2016</v>
      </c>
      <c r="N189" s="197">
        <v>2016</v>
      </c>
      <c r="O189" s="197" t="s">
        <v>193</v>
      </c>
      <c r="P189" s="236" t="s">
        <v>199</v>
      </c>
      <c r="Q189" s="276" t="s">
        <v>121</v>
      </c>
      <c r="R189" s="277" t="s">
        <v>320</v>
      </c>
      <c r="S189" s="236">
        <v>1</v>
      </c>
      <c r="T189" s="236">
        <v>221</v>
      </c>
      <c r="U189" s="236">
        <v>194</v>
      </c>
      <c r="V189" s="236"/>
      <c r="W189" s="236">
        <v>0</v>
      </c>
      <c r="X189" s="236">
        <v>0</v>
      </c>
      <c r="Y189" s="236">
        <v>0</v>
      </c>
      <c r="Z189" s="236">
        <v>194</v>
      </c>
      <c r="AA189" s="236">
        <v>0</v>
      </c>
      <c r="AB189" s="236">
        <v>0</v>
      </c>
      <c r="AC189" s="236">
        <v>27</v>
      </c>
      <c r="AD189" s="236" t="s">
        <v>145</v>
      </c>
      <c r="AE189" s="236">
        <v>0.122661281</v>
      </c>
      <c r="AF189" s="236" t="s">
        <v>182</v>
      </c>
      <c r="AG189" s="236">
        <v>1</v>
      </c>
      <c r="AH189" s="236">
        <v>0</v>
      </c>
      <c r="AI189" s="236"/>
      <c r="AJ189" s="236">
        <v>1</v>
      </c>
      <c r="AK189" s="236">
        <v>1</v>
      </c>
      <c r="AL189" s="236">
        <v>1</v>
      </c>
      <c r="AM189" s="236"/>
      <c r="AN189" s="236"/>
      <c r="AO189" s="236"/>
      <c r="AP189" s="236"/>
      <c r="AQ189" s="236">
        <v>555682332</v>
      </c>
      <c r="AR189" s="276"/>
      <c r="AS189" s="276"/>
      <c r="AT189" s="276" t="s">
        <v>180</v>
      </c>
      <c r="AU189" s="250" t="s">
        <v>935</v>
      </c>
      <c r="AV189" s="276"/>
      <c r="AW189" s="236"/>
    </row>
    <row r="190" spans="1:49" s="240" customFormat="1">
      <c r="A190" s="276" t="s">
        <v>235</v>
      </c>
      <c r="B190" s="276"/>
      <c r="C190" s="276"/>
      <c r="D190" s="276"/>
      <c r="E190" s="276" t="s">
        <v>936</v>
      </c>
      <c r="F190" s="276" t="s">
        <v>172</v>
      </c>
      <c r="G190" s="276" t="s">
        <v>116</v>
      </c>
      <c r="H190" s="236" t="s">
        <v>270</v>
      </c>
      <c r="I190" s="276" t="s">
        <v>937</v>
      </c>
      <c r="J190" s="276" t="s">
        <v>354</v>
      </c>
      <c r="K190" s="276" t="s">
        <v>368</v>
      </c>
      <c r="L190" s="277" t="s">
        <v>190</v>
      </c>
      <c r="M190" s="276">
        <v>1989</v>
      </c>
      <c r="N190" s="276"/>
      <c r="O190" s="276"/>
      <c r="P190" s="276"/>
      <c r="Q190" s="276"/>
      <c r="R190" s="277"/>
      <c r="S190" s="276"/>
      <c r="T190" s="276"/>
      <c r="U190" s="276"/>
      <c r="V190" s="276"/>
      <c r="W190" s="276">
        <v>0</v>
      </c>
      <c r="X190" s="276">
        <v>0</v>
      </c>
      <c r="Y190" s="276">
        <v>0</v>
      </c>
      <c r="Z190" s="276"/>
      <c r="AA190" s="276">
        <v>0</v>
      </c>
      <c r="AB190" s="276">
        <v>0</v>
      </c>
      <c r="AC190" s="276"/>
      <c r="AD190" s="276"/>
      <c r="AE190" s="276"/>
      <c r="AF190" s="276"/>
      <c r="AG190" s="276"/>
      <c r="AH190" s="276"/>
      <c r="AI190" s="276"/>
      <c r="AJ190" s="276"/>
      <c r="AK190" s="276"/>
      <c r="AL190" s="276"/>
      <c r="AM190" s="276"/>
      <c r="AN190" s="276"/>
      <c r="AO190" s="276"/>
      <c r="AP190" s="276"/>
      <c r="AQ190" s="276"/>
      <c r="AR190" s="276"/>
      <c r="AS190" s="276"/>
      <c r="AT190" s="276" t="s">
        <v>180</v>
      </c>
      <c r="AU190" s="276"/>
      <c r="AV190" s="276"/>
      <c r="AW190" s="236"/>
    </row>
    <row r="191" spans="1:49" s="240" customFormat="1" ht="30.75">
      <c r="A191" s="276" t="s">
        <v>235</v>
      </c>
      <c r="B191" s="276"/>
      <c r="C191" s="276"/>
      <c r="D191" s="276"/>
      <c r="E191" s="276" t="s">
        <v>938</v>
      </c>
      <c r="F191" s="276" t="s">
        <v>172</v>
      </c>
      <c r="G191" s="276" t="s">
        <v>116</v>
      </c>
      <c r="H191" s="236" t="s">
        <v>270</v>
      </c>
      <c r="I191" s="277" t="s">
        <v>939</v>
      </c>
      <c r="J191" s="276" t="s">
        <v>354</v>
      </c>
      <c r="K191" s="276">
        <v>1.18</v>
      </c>
      <c r="L191" s="277" t="s">
        <v>190</v>
      </c>
      <c r="M191" s="276">
        <v>2008</v>
      </c>
      <c r="N191" s="276"/>
      <c r="O191" s="277" t="s">
        <v>940</v>
      </c>
      <c r="P191" s="276"/>
      <c r="Q191" s="276"/>
      <c r="R191" s="277"/>
      <c r="S191" s="276"/>
      <c r="T191" s="276"/>
      <c r="U191" s="276"/>
      <c r="V191" s="276"/>
      <c r="W191" s="276">
        <v>0</v>
      </c>
      <c r="X191" s="276">
        <v>0</v>
      </c>
      <c r="Y191" s="276">
        <v>0</v>
      </c>
      <c r="Z191" s="276"/>
      <c r="AA191" s="276">
        <v>0</v>
      </c>
      <c r="AB191" s="276">
        <v>0</v>
      </c>
      <c r="AC191" s="276"/>
      <c r="AD191" s="276"/>
      <c r="AE191" s="276"/>
      <c r="AF191" s="276"/>
      <c r="AG191" s="276"/>
      <c r="AH191" s="276"/>
      <c r="AI191" s="276"/>
      <c r="AJ191" s="276"/>
      <c r="AK191" s="276"/>
      <c r="AL191" s="276"/>
      <c r="AM191" s="276"/>
      <c r="AN191" s="276"/>
      <c r="AO191" s="276"/>
      <c r="AP191" s="276"/>
      <c r="AQ191" s="276"/>
      <c r="AR191" s="276"/>
      <c r="AS191" s="276"/>
      <c r="AT191" s="276" t="s">
        <v>180</v>
      </c>
      <c r="AU191" s="277"/>
      <c r="AV191" s="276"/>
      <c r="AW191" s="236"/>
    </row>
    <row r="192" spans="1:49" ht="30.75">
      <c r="A192" s="236" t="s">
        <v>169</v>
      </c>
      <c r="B192" s="236">
        <v>3673</v>
      </c>
      <c r="C192" s="236" t="s">
        <v>941</v>
      </c>
      <c r="D192" s="236"/>
      <c r="E192" s="236" t="s">
        <v>942</v>
      </c>
      <c r="F192" s="276" t="s">
        <v>54</v>
      </c>
      <c r="G192" s="276" t="s">
        <v>173</v>
      </c>
      <c r="H192" s="236" t="s">
        <v>270</v>
      </c>
      <c r="I192" s="199" t="s">
        <v>943</v>
      </c>
      <c r="J192" s="236" t="s">
        <v>583</v>
      </c>
      <c r="K192" s="236">
        <v>6.14</v>
      </c>
      <c r="L192" s="277" t="s">
        <v>190</v>
      </c>
      <c r="M192" s="276">
        <v>2017</v>
      </c>
      <c r="N192" s="276">
        <v>2017</v>
      </c>
      <c r="O192" s="236" t="s">
        <v>193</v>
      </c>
      <c r="P192" s="236" t="s">
        <v>199</v>
      </c>
      <c r="Q192" s="236" t="s">
        <v>199</v>
      </c>
      <c r="R192" s="238" t="s">
        <v>181</v>
      </c>
      <c r="S192" s="236">
        <v>1</v>
      </c>
      <c r="T192" s="236">
        <v>6</v>
      </c>
      <c r="U192" s="236">
        <v>6</v>
      </c>
      <c r="V192" s="236"/>
      <c r="W192" s="236">
        <v>0</v>
      </c>
      <c r="X192" s="236">
        <v>0</v>
      </c>
      <c r="Y192" s="236">
        <v>0</v>
      </c>
      <c r="Z192" s="236">
        <v>6</v>
      </c>
      <c r="AA192" s="236">
        <v>0</v>
      </c>
      <c r="AB192" s="236">
        <v>0</v>
      </c>
      <c r="AC192" s="236">
        <v>0</v>
      </c>
      <c r="AD192" s="236" t="s">
        <v>145</v>
      </c>
      <c r="AE192" s="236">
        <v>0</v>
      </c>
      <c r="AF192" s="236" t="s">
        <v>208</v>
      </c>
      <c r="AG192" s="236">
        <v>0</v>
      </c>
      <c r="AH192" s="236">
        <v>1</v>
      </c>
      <c r="AI192" s="236"/>
      <c r="AJ192" s="236">
        <v>0</v>
      </c>
      <c r="AK192" s="236">
        <v>1</v>
      </c>
      <c r="AL192" s="236">
        <v>1</v>
      </c>
      <c r="AM192" s="236"/>
      <c r="AN192" s="236"/>
      <c r="AO192" s="236"/>
      <c r="AP192" s="236"/>
      <c r="AQ192" s="236">
        <v>555682249</v>
      </c>
      <c r="AR192" s="236" t="s">
        <v>193</v>
      </c>
      <c r="AS192" s="236" t="s">
        <v>193</v>
      </c>
      <c r="AT192" s="236" t="s">
        <v>180</v>
      </c>
      <c r="AU192" s="199"/>
      <c r="AV192" s="236"/>
      <c r="AW192" s="236"/>
    </row>
    <row r="193" spans="1:49" s="240" customFormat="1">
      <c r="A193" s="276" t="s">
        <v>169</v>
      </c>
      <c r="B193" s="236">
        <v>3959</v>
      </c>
      <c r="C193" s="236" t="s">
        <v>944</v>
      </c>
      <c r="D193" s="276"/>
      <c r="E193" s="276" t="s">
        <v>945</v>
      </c>
      <c r="F193" s="276" t="s">
        <v>54</v>
      </c>
      <c r="G193" s="197" t="s">
        <v>220</v>
      </c>
      <c r="H193" s="236" t="s">
        <v>270</v>
      </c>
      <c r="I193" s="197" t="s">
        <v>946</v>
      </c>
      <c r="J193" s="236" t="s">
        <v>523</v>
      </c>
      <c r="K193" s="276">
        <v>12.866</v>
      </c>
      <c r="L193" s="277" t="s">
        <v>190</v>
      </c>
      <c r="M193" s="276">
        <v>2017</v>
      </c>
      <c r="N193" s="236">
        <v>2017</v>
      </c>
      <c r="O193" s="236" t="s">
        <v>193</v>
      </c>
      <c r="P193" s="276" t="s">
        <v>319</v>
      </c>
      <c r="Q193" s="236" t="s">
        <v>199</v>
      </c>
      <c r="R193" s="277"/>
      <c r="S193" s="236">
        <v>1</v>
      </c>
      <c r="T193" s="236">
        <v>13</v>
      </c>
      <c r="U193" s="236">
        <v>13</v>
      </c>
      <c r="V193" s="236"/>
      <c r="W193" s="236">
        <v>0</v>
      </c>
      <c r="X193" s="236">
        <v>0</v>
      </c>
      <c r="Y193" s="236">
        <v>0</v>
      </c>
      <c r="Z193" s="236">
        <v>13</v>
      </c>
      <c r="AA193" s="236">
        <v>0</v>
      </c>
      <c r="AB193" s="236">
        <v>0</v>
      </c>
      <c r="AC193" s="236">
        <v>0</v>
      </c>
      <c r="AD193" s="236" t="s">
        <v>145</v>
      </c>
      <c r="AE193" s="236">
        <v>0</v>
      </c>
      <c r="AF193" s="236" t="s">
        <v>208</v>
      </c>
      <c r="AG193" s="236">
        <v>0</v>
      </c>
      <c r="AH193" s="236">
        <v>1</v>
      </c>
      <c r="AI193" s="236"/>
      <c r="AJ193" s="236">
        <v>0</v>
      </c>
      <c r="AK193" s="236">
        <v>0</v>
      </c>
      <c r="AL193" s="236">
        <v>0</v>
      </c>
      <c r="AM193" s="236"/>
      <c r="AN193" s="236"/>
      <c r="AO193" s="236"/>
      <c r="AP193" s="236"/>
      <c r="AQ193" s="236">
        <v>555682086</v>
      </c>
      <c r="AR193" s="276" t="s">
        <v>193</v>
      </c>
      <c r="AS193" s="276"/>
      <c r="AT193" s="276" t="s">
        <v>180</v>
      </c>
      <c r="AU193" s="250" t="s">
        <v>792</v>
      </c>
      <c r="AV193" s="276"/>
      <c r="AW193" s="236"/>
    </row>
    <row r="194" spans="1:49" s="240" customFormat="1">
      <c r="A194" s="276" t="s">
        <v>169</v>
      </c>
      <c r="B194" s="236">
        <v>3516</v>
      </c>
      <c r="C194" s="236" t="s">
        <v>947</v>
      </c>
      <c r="D194" s="276"/>
      <c r="E194" s="276" t="s">
        <v>948</v>
      </c>
      <c r="F194" s="276" t="s">
        <v>54</v>
      </c>
      <c r="G194" s="197" t="s">
        <v>220</v>
      </c>
      <c r="H194" s="236" t="s">
        <v>270</v>
      </c>
      <c r="I194" s="197" t="s">
        <v>949</v>
      </c>
      <c r="J194" s="236" t="s">
        <v>523</v>
      </c>
      <c r="K194" s="276">
        <v>5</v>
      </c>
      <c r="L194" s="277" t="s">
        <v>190</v>
      </c>
      <c r="M194" s="276">
        <v>2017</v>
      </c>
      <c r="N194" s="236">
        <v>2019</v>
      </c>
      <c r="O194" s="236" t="s">
        <v>193</v>
      </c>
      <c r="P194" s="276" t="s">
        <v>319</v>
      </c>
      <c r="Q194" s="236" t="s">
        <v>199</v>
      </c>
      <c r="R194" s="277"/>
      <c r="S194" s="236">
        <v>1</v>
      </c>
      <c r="T194" s="236">
        <v>5</v>
      </c>
      <c r="U194" s="236">
        <v>5</v>
      </c>
      <c r="V194" s="236"/>
      <c r="W194" s="236">
        <v>0</v>
      </c>
      <c r="X194" s="236">
        <v>0</v>
      </c>
      <c r="Y194" s="236">
        <v>0</v>
      </c>
      <c r="Z194" s="236">
        <v>5</v>
      </c>
      <c r="AA194" s="236">
        <v>0</v>
      </c>
      <c r="AB194" s="236">
        <v>0</v>
      </c>
      <c r="AC194" s="236">
        <v>0</v>
      </c>
      <c r="AD194" s="236" t="s">
        <v>145</v>
      </c>
      <c r="AE194" s="236">
        <v>0</v>
      </c>
      <c r="AF194" s="236" t="s">
        <v>208</v>
      </c>
      <c r="AG194" s="236">
        <v>0</v>
      </c>
      <c r="AH194" s="236">
        <v>1</v>
      </c>
      <c r="AI194" s="236"/>
      <c r="AJ194" s="236">
        <v>0</v>
      </c>
      <c r="AK194" s="236">
        <v>0</v>
      </c>
      <c r="AL194" s="236">
        <v>0</v>
      </c>
      <c r="AM194" s="236"/>
      <c r="AN194" s="236"/>
      <c r="AO194" s="236"/>
      <c r="AP194" s="236"/>
      <c r="AQ194" s="236">
        <v>555682209</v>
      </c>
      <c r="AR194" s="276" t="s">
        <v>193</v>
      </c>
      <c r="AS194" s="276"/>
      <c r="AT194" s="276" t="s">
        <v>180</v>
      </c>
      <c r="AU194" s="250" t="s">
        <v>792</v>
      </c>
      <c r="AV194" s="276"/>
      <c r="AW194" s="236"/>
    </row>
    <row r="195" spans="1:49" s="240" customFormat="1" ht="60.75">
      <c r="A195" s="276" t="s">
        <v>169</v>
      </c>
      <c r="B195" s="236">
        <v>3536</v>
      </c>
      <c r="C195" s="236" t="s">
        <v>950</v>
      </c>
      <c r="D195" s="276"/>
      <c r="E195" s="276" t="s">
        <v>951</v>
      </c>
      <c r="F195" s="276" t="s">
        <v>172</v>
      </c>
      <c r="G195" s="276" t="s">
        <v>116</v>
      </c>
      <c r="H195" s="236" t="s">
        <v>174</v>
      </c>
      <c r="I195" s="276" t="s">
        <v>952</v>
      </c>
      <c r="J195" s="236" t="s">
        <v>953</v>
      </c>
      <c r="K195" s="276">
        <v>1229.3420000000001</v>
      </c>
      <c r="L195" s="277" t="s">
        <v>190</v>
      </c>
      <c r="M195" s="276">
        <v>2017</v>
      </c>
      <c r="N195" s="276">
        <v>2024</v>
      </c>
      <c r="O195" s="277" t="s">
        <v>954</v>
      </c>
      <c r="P195" s="200" t="s">
        <v>180</v>
      </c>
      <c r="Q195" s="200" t="s">
        <v>121</v>
      </c>
      <c r="R195" s="277" t="s">
        <v>955</v>
      </c>
      <c r="S195" s="236">
        <v>1</v>
      </c>
      <c r="T195" s="276"/>
      <c r="U195" s="276"/>
      <c r="V195" s="236"/>
      <c r="W195" s="236">
        <v>0</v>
      </c>
      <c r="X195" s="236">
        <v>0</v>
      </c>
      <c r="Y195" s="236">
        <v>0</v>
      </c>
      <c r="Z195" s="276">
        <v>1229.3420000000001</v>
      </c>
      <c r="AA195" s="236">
        <v>0</v>
      </c>
      <c r="AB195" s="236">
        <v>0</v>
      </c>
      <c r="AC195" s="236">
        <v>0</v>
      </c>
      <c r="AD195" s="236" t="s">
        <v>145</v>
      </c>
      <c r="AE195" s="236">
        <v>0</v>
      </c>
      <c r="AF195" s="236" t="s">
        <v>182</v>
      </c>
      <c r="AG195" s="236">
        <v>1</v>
      </c>
      <c r="AH195" s="236">
        <v>0</v>
      </c>
      <c r="AI195" s="236"/>
      <c r="AJ195" s="236">
        <v>0</v>
      </c>
      <c r="AK195" s="236">
        <v>1</v>
      </c>
      <c r="AL195" s="236">
        <v>1</v>
      </c>
      <c r="AM195" s="236"/>
      <c r="AN195" s="236"/>
      <c r="AO195" s="236"/>
      <c r="AP195" s="236"/>
      <c r="AQ195" s="236">
        <v>555636645</v>
      </c>
      <c r="AR195" s="276"/>
      <c r="AS195" s="276"/>
      <c r="AT195" s="276" t="s">
        <v>180</v>
      </c>
      <c r="AU195" s="250" t="s">
        <v>956</v>
      </c>
      <c r="AV195" s="248" t="s">
        <v>957</v>
      </c>
      <c r="AW195" s="236"/>
    </row>
    <row r="196" spans="1:49" s="240" customFormat="1" ht="15" customHeight="1">
      <c r="A196" s="276" t="s">
        <v>235</v>
      </c>
      <c r="B196" s="276"/>
      <c r="C196" s="276"/>
      <c r="D196" s="276"/>
      <c r="E196" s="276" t="s">
        <v>958</v>
      </c>
      <c r="F196" s="277" t="s">
        <v>257</v>
      </c>
      <c r="G196" s="276" t="s">
        <v>116</v>
      </c>
      <c r="H196" s="198" t="s">
        <v>258</v>
      </c>
      <c r="I196" s="276" t="s">
        <v>959</v>
      </c>
      <c r="J196" s="276" t="s">
        <v>960</v>
      </c>
      <c r="K196" s="276">
        <v>1246</v>
      </c>
      <c r="L196" s="277" t="s">
        <v>190</v>
      </c>
      <c r="M196" s="276">
        <v>2022</v>
      </c>
      <c r="N196" s="276"/>
      <c r="O196" s="276"/>
      <c r="P196" s="276"/>
      <c r="Q196" s="276"/>
      <c r="R196" s="277"/>
      <c r="S196" s="276"/>
      <c r="T196" s="276"/>
      <c r="U196" s="276"/>
      <c r="V196" s="276"/>
      <c r="W196" s="276"/>
      <c r="X196" s="276"/>
      <c r="Y196" s="276"/>
      <c r="Z196" s="276"/>
      <c r="AA196" s="276"/>
      <c r="AB196" s="276"/>
      <c r="AC196" s="276"/>
      <c r="AD196" s="276"/>
      <c r="AE196" s="276"/>
      <c r="AF196" s="276"/>
      <c r="AG196" s="276"/>
      <c r="AH196" s="276"/>
      <c r="AI196" s="276"/>
      <c r="AJ196" s="276"/>
      <c r="AK196" s="276"/>
      <c r="AL196" s="276"/>
      <c r="AM196" s="276"/>
      <c r="AN196" s="276"/>
      <c r="AO196" s="276"/>
      <c r="AP196" s="276"/>
      <c r="AQ196" s="276"/>
      <c r="AR196" s="276"/>
      <c r="AS196" s="276"/>
      <c r="AT196" s="276" t="s">
        <v>180</v>
      </c>
      <c r="AU196" s="276"/>
      <c r="AV196" s="276"/>
      <c r="AW196" s="236"/>
    </row>
    <row r="197" spans="1:49" ht="15" customHeight="1">
      <c r="A197" s="276" t="s">
        <v>235</v>
      </c>
      <c r="B197" s="276"/>
      <c r="C197" s="276"/>
      <c r="D197" s="276"/>
      <c r="E197" s="197" t="s">
        <v>961</v>
      </c>
      <c r="F197" s="276" t="s">
        <v>54</v>
      </c>
      <c r="G197" s="276" t="s">
        <v>116</v>
      </c>
      <c r="H197" s="236" t="s">
        <v>270</v>
      </c>
      <c r="I197" s="276" t="s">
        <v>962</v>
      </c>
      <c r="J197" s="276" t="s">
        <v>963</v>
      </c>
      <c r="K197" s="276">
        <v>1.08</v>
      </c>
      <c r="L197" s="277" t="s">
        <v>190</v>
      </c>
      <c r="M197" s="276">
        <v>2022</v>
      </c>
      <c r="N197" s="276">
        <v>2022</v>
      </c>
      <c r="O197" s="276" t="s">
        <v>964</v>
      </c>
      <c r="P197" s="276"/>
      <c r="Q197" s="276"/>
      <c r="R197" s="277"/>
      <c r="S197" s="276"/>
      <c r="T197" s="276"/>
      <c r="U197" s="276"/>
      <c r="V197" s="276"/>
      <c r="W197" s="276"/>
      <c r="X197" s="276"/>
      <c r="Y197" s="276"/>
      <c r="Z197" s="276"/>
      <c r="AA197" s="276"/>
      <c r="AB197" s="276"/>
      <c r="AC197" s="276"/>
      <c r="AD197" s="276"/>
      <c r="AE197" s="276"/>
      <c r="AF197" s="276"/>
      <c r="AG197" s="276"/>
      <c r="AH197" s="276"/>
      <c r="AI197" s="276"/>
      <c r="AJ197" s="276"/>
      <c r="AK197" s="276"/>
      <c r="AL197" s="276"/>
      <c r="AM197" s="276"/>
      <c r="AN197" s="276"/>
      <c r="AO197" s="276"/>
      <c r="AP197" s="276"/>
      <c r="AQ197" s="276"/>
      <c r="AR197" s="276"/>
      <c r="AS197" s="276"/>
      <c r="AT197" s="276"/>
      <c r="AU197" s="276"/>
      <c r="AV197" s="276"/>
      <c r="AW197" s="236"/>
    </row>
    <row r="198" spans="1:49" ht="15" customHeight="1">
      <c r="A198" s="276" t="s">
        <v>235</v>
      </c>
      <c r="B198" s="276"/>
      <c r="C198" s="276"/>
      <c r="D198" s="276"/>
      <c r="E198" s="197" t="s">
        <v>965</v>
      </c>
      <c r="F198" s="276" t="s">
        <v>172</v>
      </c>
      <c r="G198" s="276" t="s">
        <v>116</v>
      </c>
      <c r="H198" s="236" t="s">
        <v>270</v>
      </c>
      <c r="I198" s="197" t="s">
        <v>966</v>
      </c>
      <c r="J198" s="276" t="s">
        <v>967</v>
      </c>
      <c r="K198" s="276"/>
      <c r="L198" s="277" t="s">
        <v>190</v>
      </c>
      <c r="M198" s="276">
        <v>2022</v>
      </c>
      <c r="N198" s="276">
        <v>2017</v>
      </c>
      <c r="O198" s="204" t="s">
        <v>968</v>
      </c>
      <c r="P198" s="276"/>
      <c r="Q198" s="276"/>
      <c r="R198" s="277"/>
      <c r="S198" s="276"/>
      <c r="T198" s="276"/>
      <c r="U198" s="276"/>
      <c r="V198" s="276"/>
      <c r="W198" s="276">
        <v>0</v>
      </c>
      <c r="X198" s="276">
        <v>0</v>
      </c>
      <c r="Y198" s="276">
        <v>0</v>
      </c>
      <c r="Z198" s="276"/>
      <c r="AA198" s="276">
        <v>0</v>
      </c>
      <c r="AB198" s="276">
        <v>0</v>
      </c>
      <c r="AC198" s="276"/>
      <c r="AD198" s="276"/>
      <c r="AE198" s="276"/>
      <c r="AF198" s="276"/>
      <c r="AG198" s="276"/>
      <c r="AH198" s="276"/>
      <c r="AI198" s="276"/>
      <c r="AJ198" s="276"/>
      <c r="AK198" s="276"/>
      <c r="AL198" s="276"/>
      <c r="AM198" s="276"/>
      <c r="AN198" s="276"/>
      <c r="AO198" s="276"/>
      <c r="AP198" s="276"/>
      <c r="AQ198" s="276"/>
      <c r="AR198" s="276"/>
      <c r="AS198" s="276"/>
      <c r="AT198" s="276" t="s">
        <v>180</v>
      </c>
      <c r="AU198" s="197"/>
      <c r="AV198" s="276"/>
      <c r="AW198" s="236"/>
    </row>
    <row r="199" spans="1:49" ht="15" customHeight="1">
      <c r="A199" s="236" t="s">
        <v>169</v>
      </c>
      <c r="B199" s="236">
        <v>3660</v>
      </c>
      <c r="C199" s="236" t="s">
        <v>969</v>
      </c>
      <c r="D199" s="236"/>
      <c r="E199" s="236" t="s">
        <v>970</v>
      </c>
      <c r="F199" s="276" t="s">
        <v>54</v>
      </c>
      <c r="G199" s="276" t="s">
        <v>173</v>
      </c>
      <c r="H199" s="236" t="s">
        <v>270</v>
      </c>
      <c r="I199" s="205" t="s">
        <v>971</v>
      </c>
      <c r="J199" s="236" t="s">
        <v>354</v>
      </c>
      <c r="K199" s="236">
        <v>5.2</v>
      </c>
      <c r="L199" s="277" t="s">
        <v>190</v>
      </c>
      <c r="M199" s="276">
        <v>2018</v>
      </c>
      <c r="N199" s="276">
        <v>2018</v>
      </c>
      <c r="O199" s="236" t="s">
        <v>193</v>
      </c>
      <c r="P199" s="236" t="s">
        <v>199</v>
      </c>
      <c r="Q199" s="236" t="s">
        <v>199</v>
      </c>
      <c r="R199" s="238" t="s">
        <v>181</v>
      </c>
      <c r="S199" s="236">
        <v>1</v>
      </c>
      <c r="T199" s="236">
        <v>6</v>
      </c>
      <c r="U199" s="236">
        <v>6</v>
      </c>
      <c r="V199" s="236"/>
      <c r="W199" s="236">
        <v>0</v>
      </c>
      <c r="X199" s="236">
        <v>0</v>
      </c>
      <c r="Y199" s="236">
        <v>0</v>
      </c>
      <c r="Z199" s="236">
        <v>6</v>
      </c>
      <c r="AA199" s="236">
        <v>0</v>
      </c>
      <c r="AB199" s="236">
        <v>0</v>
      </c>
      <c r="AC199" s="236">
        <v>0</v>
      </c>
      <c r="AD199" s="236" t="s">
        <v>145</v>
      </c>
      <c r="AE199" s="236">
        <v>0</v>
      </c>
      <c r="AF199" s="236" t="s">
        <v>208</v>
      </c>
      <c r="AG199" s="236">
        <v>0</v>
      </c>
      <c r="AH199" s="236">
        <v>1</v>
      </c>
      <c r="AI199" s="236"/>
      <c r="AJ199" s="236">
        <v>0</v>
      </c>
      <c r="AK199" s="236">
        <v>1</v>
      </c>
      <c r="AL199" s="236">
        <v>1</v>
      </c>
      <c r="AM199" s="236"/>
      <c r="AN199" s="236"/>
      <c r="AO199" s="236"/>
      <c r="AP199" s="236"/>
      <c r="AQ199" s="236">
        <v>555682265</v>
      </c>
      <c r="AR199" s="236" t="s">
        <v>193</v>
      </c>
      <c r="AS199" s="236" t="s">
        <v>193</v>
      </c>
      <c r="AT199" s="236" t="s">
        <v>180</v>
      </c>
      <c r="AU199" s="206"/>
      <c r="AV199" s="236"/>
      <c r="AW199" s="236"/>
    </row>
    <row r="200" spans="1:49" s="240" customFormat="1" ht="15" customHeight="1">
      <c r="A200" s="236" t="s">
        <v>169</v>
      </c>
      <c r="B200" s="236">
        <v>3662</v>
      </c>
      <c r="C200" s="236" t="s">
        <v>972</v>
      </c>
      <c r="D200" s="236"/>
      <c r="E200" s="236" t="s">
        <v>973</v>
      </c>
      <c r="F200" s="276" t="s">
        <v>54</v>
      </c>
      <c r="G200" s="276" t="s">
        <v>173</v>
      </c>
      <c r="H200" s="236" t="s">
        <v>270</v>
      </c>
      <c r="I200" s="205" t="s">
        <v>974</v>
      </c>
      <c r="J200" s="236" t="s">
        <v>975</v>
      </c>
      <c r="K200" s="236">
        <v>36.06</v>
      </c>
      <c r="L200" s="277" t="s">
        <v>190</v>
      </c>
      <c r="M200" s="276">
        <v>2018</v>
      </c>
      <c r="N200" s="276">
        <v>2018</v>
      </c>
      <c r="O200" s="236" t="s">
        <v>193</v>
      </c>
      <c r="P200" s="236" t="s">
        <v>199</v>
      </c>
      <c r="Q200" s="236" t="s">
        <v>199</v>
      </c>
      <c r="R200" s="238" t="s">
        <v>181</v>
      </c>
      <c r="S200" s="236">
        <v>1</v>
      </c>
      <c r="T200" s="236">
        <v>36</v>
      </c>
      <c r="U200" s="236">
        <v>36</v>
      </c>
      <c r="V200" s="236"/>
      <c r="W200" s="236">
        <v>0</v>
      </c>
      <c r="X200" s="236">
        <v>0</v>
      </c>
      <c r="Y200" s="236">
        <v>0</v>
      </c>
      <c r="Z200" s="236">
        <v>36</v>
      </c>
      <c r="AA200" s="236">
        <v>0</v>
      </c>
      <c r="AB200" s="236">
        <v>0</v>
      </c>
      <c r="AC200" s="236">
        <v>0</v>
      </c>
      <c r="AD200" s="236" t="s">
        <v>145</v>
      </c>
      <c r="AE200" s="236">
        <v>0</v>
      </c>
      <c r="AF200" s="236" t="s">
        <v>208</v>
      </c>
      <c r="AG200" s="236">
        <v>0</v>
      </c>
      <c r="AH200" s="236">
        <v>1</v>
      </c>
      <c r="AI200" s="236"/>
      <c r="AJ200" s="236">
        <v>0</v>
      </c>
      <c r="AK200" s="236">
        <v>0</v>
      </c>
      <c r="AL200" s="236">
        <v>0</v>
      </c>
      <c r="AM200" s="236"/>
      <c r="AN200" s="236"/>
      <c r="AO200" s="236"/>
      <c r="AP200" s="236"/>
      <c r="AQ200" s="236">
        <v>555682256</v>
      </c>
      <c r="AR200" s="236" t="s">
        <v>193</v>
      </c>
      <c r="AS200" s="236" t="s">
        <v>193</v>
      </c>
      <c r="AT200" s="236" t="s">
        <v>180</v>
      </c>
      <c r="AU200" s="206"/>
      <c r="AV200" s="236"/>
      <c r="AW200" s="236"/>
    </row>
    <row r="201" spans="1:49" s="240" customFormat="1" ht="15" customHeight="1">
      <c r="A201" s="236" t="s">
        <v>169</v>
      </c>
      <c r="B201" s="236">
        <v>3658</v>
      </c>
      <c r="C201" s="236" t="s">
        <v>976</v>
      </c>
      <c r="D201" s="236"/>
      <c r="E201" s="236" t="s">
        <v>977</v>
      </c>
      <c r="F201" s="276" t="s">
        <v>54</v>
      </c>
      <c r="G201" s="276" t="s">
        <v>173</v>
      </c>
      <c r="H201" s="236" t="s">
        <v>270</v>
      </c>
      <c r="I201" s="205" t="s">
        <v>978</v>
      </c>
      <c r="J201" s="236" t="s">
        <v>334</v>
      </c>
      <c r="K201" s="236">
        <v>285.23</v>
      </c>
      <c r="L201" s="277" t="s">
        <v>190</v>
      </c>
      <c r="M201" s="276">
        <v>2018</v>
      </c>
      <c r="N201" s="276">
        <v>2018</v>
      </c>
      <c r="O201" s="236" t="s">
        <v>193</v>
      </c>
      <c r="P201" s="236" t="s">
        <v>199</v>
      </c>
      <c r="Q201" s="236" t="s">
        <v>199</v>
      </c>
      <c r="R201" s="238" t="s">
        <v>181</v>
      </c>
      <c r="S201" s="236">
        <v>1</v>
      </c>
      <c r="T201" s="236">
        <v>285</v>
      </c>
      <c r="U201" s="236">
        <v>285</v>
      </c>
      <c r="V201" s="236"/>
      <c r="W201" s="236">
        <v>0</v>
      </c>
      <c r="X201" s="236">
        <v>0</v>
      </c>
      <c r="Y201" s="236">
        <v>0</v>
      </c>
      <c r="Z201" s="236">
        <v>285</v>
      </c>
      <c r="AA201" s="236">
        <v>0</v>
      </c>
      <c r="AB201" s="236">
        <v>0</v>
      </c>
      <c r="AC201" s="236">
        <v>0</v>
      </c>
      <c r="AD201" s="236" t="s">
        <v>145</v>
      </c>
      <c r="AE201" s="236">
        <v>0</v>
      </c>
      <c r="AF201" s="236" t="s">
        <v>208</v>
      </c>
      <c r="AG201" s="236">
        <v>0</v>
      </c>
      <c r="AH201" s="236">
        <v>1</v>
      </c>
      <c r="AI201" s="236"/>
      <c r="AJ201" s="236">
        <v>0</v>
      </c>
      <c r="AK201" s="236">
        <v>1</v>
      </c>
      <c r="AL201" s="236">
        <v>1</v>
      </c>
      <c r="AM201" s="236"/>
      <c r="AN201" s="236"/>
      <c r="AO201" s="236"/>
      <c r="AP201" s="236"/>
      <c r="AQ201" s="236">
        <v>555682266</v>
      </c>
      <c r="AR201" s="236" t="s">
        <v>193</v>
      </c>
      <c r="AS201" s="236" t="s">
        <v>193</v>
      </c>
      <c r="AT201" s="236" t="s">
        <v>180</v>
      </c>
      <c r="AU201" s="206"/>
      <c r="AV201" s="236"/>
      <c r="AW201" s="236"/>
    </row>
    <row r="202" spans="1:49" s="240" customFormat="1" ht="15" customHeight="1">
      <c r="A202" s="276" t="s">
        <v>169</v>
      </c>
      <c r="B202" s="236">
        <v>3951</v>
      </c>
      <c r="C202" s="236" t="s">
        <v>979</v>
      </c>
      <c r="D202" s="276"/>
      <c r="E202" s="276" t="s">
        <v>980</v>
      </c>
      <c r="F202" s="276" t="s">
        <v>54</v>
      </c>
      <c r="G202" s="197" t="s">
        <v>220</v>
      </c>
      <c r="H202" s="236" t="s">
        <v>270</v>
      </c>
      <c r="I202" s="197" t="s">
        <v>981</v>
      </c>
      <c r="J202" s="236" t="s">
        <v>982</v>
      </c>
      <c r="K202" s="276">
        <v>5.58</v>
      </c>
      <c r="L202" s="277" t="s">
        <v>190</v>
      </c>
      <c r="M202" s="276">
        <v>2018</v>
      </c>
      <c r="N202" s="236">
        <v>2018</v>
      </c>
      <c r="O202" s="236" t="s">
        <v>193</v>
      </c>
      <c r="P202" s="276" t="s">
        <v>319</v>
      </c>
      <c r="Q202" s="236" t="s">
        <v>199</v>
      </c>
      <c r="R202" s="277"/>
      <c r="S202" s="236">
        <v>1</v>
      </c>
      <c r="T202" s="236">
        <v>6</v>
      </c>
      <c r="U202" s="236">
        <v>6</v>
      </c>
      <c r="V202" s="236"/>
      <c r="W202" s="236">
        <v>0</v>
      </c>
      <c r="X202" s="236">
        <v>0</v>
      </c>
      <c r="Y202" s="236">
        <v>0</v>
      </c>
      <c r="Z202" s="236">
        <v>6</v>
      </c>
      <c r="AA202" s="236">
        <v>0</v>
      </c>
      <c r="AB202" s="236">
        <v>0</v>
      </c>
      <c r="AC202" s="236">
        <v>0</v>
      </c>
      <c r="AD202" s="236" t="s">
        <v>145</v>
      </c>
      <c r="AE202" s="236">
        <v>0</v>
      </c>
      <c r="AF202" s="236" t="s">
        <v>208</v>
      </c>
      <c r="AG202" s="236">
        <v>0</v>
      </c>
      <c r="AH202" s="236">
        <v>1</v>
      </c>
      <c r="AI202" s="236"/>
      <c r="AJ202" s="236">
        <v>0</v>
      </c>
      <c r="AK202" s="236">
        <v>0</v>
      </c>
      <c r="AL202" s="236">
        <v>0</v>
      </c>
      <c r="AM202" s="236"/>
      <c r="AN202" s="236"/>
      <c r="AO202" s="236"/>
      <c r="AP202" s="236"/>
      <c r="AQ202" s="236">
        <v>555682340</v>
      </c>
      <c r="AR202" s="276" t="s">
        <v>193</v>
      </c>
      <c r="AS202" s="276"/>
      <c r="AT202" s="276" t="s">
        <v>180</v>
      </c>
      <c r="AU202" s="250" t="s">
        <v>792</v>
      </c>
      <c r="AV202" s="276"/>
      <c r="AW202" s="236"/>
    </row>
    <row r="203" spans="1:49" s="240" customFormat="1" ht="15" customHeight="1">
      <c r="A203" s="276" t="s">
        <v>169</v>
      </c>
      <c r="B203" s="236">
        <v>3954</v>
      </c>
      <c r="C203" s="236" t="s">
        <v>983</v>
      </c>
      <c r="D203" s="276"/>
      <c r="E203" s="276" t="s">
        <v>984</v>
      </c>
      <c r="F203" s="276" t="s">
        <v>54</v>
      </c>
      <c r="G203" s="197" t="s">
        <v>220</v>
      </c>
      <c r="H203" s="236" t="s">
        <v>270</v>
      </c>
      <c r="I203" s="197" t="s">
        <v>985</v>
      </c>
      <c r="J203" s="236" t="s">
        <v>427</v>
      </c>
      <c r="K203" s="276">
        <v>35.04</v>
      </c>
      <c r="L203" s="277" t="s">
        <v>190</v>
      </c>
      <c r="M203" s="276">
        <v>2018</v>
      </c>
      <c r="N203" s="236">
        <v>2018</v>
      </c>
      <c r="O203" s="236" t="s">
        <v>193</v>
      </c>
      <c r="P203" s="276" t="s">
        <v>319</v>
      </c>
      <c r="Q203" s="236" t="s">
        <v>199</v>
      </c>
      <c r="R203" s="277"/>
      <c r="S203" s="236">
        <v>1</v>
      </c>
      <c r="T203" s="236">
        <v>35</v>
      </c>
      <c r="U203" s="236">
        <v>35</v>
      </c>
      <c r="V203" s="236"/>
      <c r="W203" s="236">
        <v>0</v>
      </c>
      <c r="X203" s="236">
        <v>0</v>
      </c>
      <c r="Y203" s="236">
        <v>0</v>
      </c>
      <c r="Z203" s="236">
        <v>35</v>
      </c>
      <c r="AA203" s="236">
        <v>0</v>
      </c>
      <c r="AB203" s="236">
        <v>0</v>
      </c>
      <c r="AC203" s="236">
        <v>0</v>
      </c>
      <c r="AD203" s="236" t="s">
        <v>145</v>
      </c>
      <c r="AE203" s="236">
        <v>0</v>
      </c>
      <c r="AF203" s="236" t="s">
        <v>208</v>
      </c>
      <c r="AG203" s="236">
        <v>0</v>
      </c>
      <c r="AH203" s="236">
        <v>1</v>
      </c>
      <c r="AI203" s="236"/>
      <c r="AJ203" s="236">
        <v>0</v>
      </c>
      <c r="AK203" s="236">
        <v>0</v>
      </c>
      <c r="AL203" s="236">
        <v>0</v>
      </c>
      <c r="AM203" s="236"/>
      <c r="AN203" s="236"/>
      <c r="AO203" s="236"/>
      <c r="AP203" s="236"/>
      <c r="AQ203" s="236">
        <v>555682333</v>
      </c>
      <c r="AR203" s="276" t="s">
        <v>193</v>
      </c>
      <c r="AS203" s="276"/>
      <c r="AT203" s="276" t="s">
        <v>180</v>
      </c>
      <c r="AU203" s="250" t="s">
        <v>792</v>
      </c>
      <c r="AV203" s="276"/>
      <c r="AW203" s="236"/>
    </row>
    <row r="204" spans="1:49" s="240" customFormat="1" ht="33" customHeight="1">
      <c r="A204" s="276" t="s">
        <v>169</v>
      </c>
      <c r="B204" s="236">
        <v>3957</v>
      </c>
      <c r="C204" s="236" t="s">
        <v>986</v>
      </c>
      <c r="D204" s="276"/>
      <c r="E204" s="276" t="s">
        <v>987</v>
      </c>
      <c r="F204" s="276" t="s">
        <v>54</v>
      </c>
      <c r="G204" s="197" t="s">
        <v>220</v>
      </c>
      <c r="H204" s="236" t="s">
        <v>270</v>
      </c>
      <c r="I204" s="197" t="s">
        <v>988</v>
      </c>
      <c r="J204" s="236" t="s">
        <v>989</v>
      </c>
      <c r="K204" s="276">
        <v>2850</v>
      </c>
      <c r="L204" s="277" t="s">
        <v>190</v>
      </c>
      <c r="M204" s="276">
        <v>2018</v>
      </c>
      <c r="N204" s="236">
        <v>2018</v>
      </c>
      <c r="O204" s="236" t="s">
        <v>193</v>
      </c>
      <c r="P204" s="276" t="s">
        <v>180</v>
      </c>
      <c r="Q204" s="236" t="s">
        <v>199</v>
      </c>
      <c r="R204" s="277"/>
      <c r="S204" s="236">
        <v>1</v>
      </c>
      <c r="T204" s="236">
        <v>285</v>
      </c>
      <c r="U204" s="236">
        <v>285</v>
      </c>
      <c r="V204" s="236"/>
      <c r="W204" s="236">
        <v>0</v>
      </c>
      <c r="X204" s="236">
        <v>0</v>
      </c>
      <c r="Y204" s="236">
        <v>0</v>
      </c>
      <c r="Z204" s="236">
        <v>285</v>
      </c>
      <c r="AA204" s="236">
        <v>0</v>
      </c>
      <c r="AB204" s="236">
        <v>0</v>
      </c>
      <c r="AC204" s="236">
        <v>0</v>
      </c>
      <c r="AD204" s="236" t="s">
        <v>145</v>
      </c>
      <c r="AE204" s="236">
        <v>0</v>
      </c>
      <c r="AF204" s="236" t="s">
        <v>208</v>
      </c>
      <c r="AG204" s="236">
        <v>0</v>
      </c>
      <c r="AH204" s="236">
        <v>1</v>
      </c>
      <c r="AI204" s="236"/>
      <c r="AJ204" s="236">
        <v>0</v>
      </c>
      <c r="AK204" s="236">
        <v>0</v>
      </c>
      <c r="AL204" s="236">
        <v>0</v>
      </c>
      <c r="AM204" s="236"/>
      <c r="AN204" s="236"/>
      <c r="AO204" s="236"/>
      <c r="AP204" s="236"/>
      <c r="AQ204" s="236">
        <v>555682113</v>
      </c>
      <c r="AR204" s="276" t="s">
        <v>990</v>
      </c>
      <c r="AS204" s="276"/>
      <c r="AT204" s="276" t="s">
        <v>180</v>
      </c>
      <c r="AU204" s="250" t="s">
        <v>792</v>
      </c>
      <c r="AV204" s="276"/>
      <c r="AW204" s="236"/>
    </row>
    <row r="205" spans="1:49" s="240" customFormat="1" ht="33.75" customHeight="1">
      <c r="A205" s="276" t="s">
        <v>235</v>
      </c>
      <c r="B205" s="276"/>
      <c r="C205" s="276"/>
      <c r="D205" s="276"/>
      <c r="E205" s="277" t="s">
        <v>991</v>
      </c>
      <c r="F205" s="276" t="s">
        <v>54</v>
      </c>
      <c r="G205" s="276" t="s">
        <v>116</v>
      </c>
      <c r="H205" s="236" t="s">
        <v>270</v>
      </c>
      <c r="I205" s="276" t="s">
        <v>992</v>
      </c>
      <c r="J205" s="276" t="s">
        <v>286</v>
      </c>
      <c r="K205" s="276">
        <v>1.88</v>
      </c>
      <c r="L205" s="277" t="s">
        <v>190</v>
      </c>
      <c r="M205" s="276">
        <v>2018</v>
      </c>
      <c r="N205" s="276"/>
      <c r="O205" s="276"/>
      <c r="P205" s="276"/>
      <c r="Q205" s="276"/>
      <c r="R205" s="277"/>
      <c r="S205" s="276"/>
      <c r="T205" s="276"/>
      <c r="U205" s="276"/>
      <c r="V205" s="276"/>
      <c r="W205" s="276"/>
      <c r="X205" s="276"/>
      <c r="Y205" s="276"/>
      <c r="Z205" s="276"/>
      <c r="AA205" s="276"/>
      <c r="AB205" s="276"/>
      <c r="AC205" s="276"/>
      <c r="AD205" s="276"/>
      <c r="AE205" s="276"/>
      <c r="AF205" s="276"/>
      <c r="AG205" s="276"/>
      <c r="AH205" s="276"/>
      <c r="AI205" s="276"/>
      <c r="AJ205" s="276"/>
      <c r="AK205" s="276"/>
      <c r="AL205" s="276"/>
      <c r="AM205" s="276"/>
      <c r="AN205" s="276"/>
      <c r="AO205" s="276"/>
      <c r="AP205" s="276"/>
      <c r="AQ205" s="276"/>
      <c r="AR205" s="276"/>
      <c r="AS205" s="276"/>
      <c r="AT205" s="276"/>
      <c r="AU205" s="276"/>
      <c r="AV205" s="276"/>
      <c r="AW205" s="236"/>
    </row>
    <row r="206" spans="1:49" s="240" customFormat="1" ht="30.75" customHeight="1">
      <c r="A206" s="276" t="s">
        <v>169</v>
      </c>
      <c r="B206" s="236">
        <v>4814</v>
      </c>
      <c r="C206" s="236" t="s">
        <v>993</v>
      </c>
      <c r="D206" s="276"/>
      <c r="E206" s="276" t="s">
        <v>994</v>
      </c>
      <c r="F206" s="276" t="s">
        <v>172</v>
      </c>
      <c r="G206" s="276" t="s">
        <v>116</v>
      </c>
      <c r="H206" s="236" t="s">
        <v>270</v>
      </c>
      <c r="I206" s="276" t="s">
        <v>995</v>
      </c>
      <c r="J206" s="236" t="s">
        <v>996</v>
      </c>
      <c r="K206" s="276">
        <v>50.74</v>
      </c>
      <c r="L206" s="277" t="s">
        <v>190</v>
      </c>
      <c r="M206" s="276">
        <v>2018</v>
      </c>
      <c r="N206" s="276">
        <v>2018</v>
      </c>
      <c r="O206" s="236" t="s">
        <v>193</v>
      </c>
      <c r="P206" s="236" t="s">
        <v>199</v>
      </c>
      <c r="Q206" s="236" t="s">
        <v>199</v>
      </c>
      <c r="R206" s="277" t="s">
        <v>997</v>
      </c>
      <c r="S206" s="236">
        <v>1</v>
      </c>
      <c r="T206" s="236">
        <v>50.74364147</v>
      </c>
      <c r="U206" s="236">
        <v>50.74364147</v>
      </c>
      <c r="V206" s="236"/>
      <c r="W206" s="236">
        <v>0</v>
      </c>
      <c r="X206" s="236">
        <v>0</v>
      </c>
      <c r="Y206" s="236">
        <v>0</v>
      </c>
      <c r="Z206" s="236">
        <v>50.74364147</v>
      </c>
      <c r="AA206" s="236">
        <v>0</v>
      </c>
      <c r="AB206" s="236">
        <v>0</v>
      </c>
      <c r="AC206" s="236">
        <v>0</v>
      </c>
      <c r="AD206" s="236" t="s">
        <v>145</v>
      </c>
      <c r="AE206" s="236">
        <v>0</v>
      </c>
      <c r="AF206" s="236" t="s">
        <v>182</v>
      </c>
      <c r="AG206" s="236">
        <v>1</v>
      </c>
      <c r="AH206" s="236">
        <v>0</v>
      </c>
      <c r="AI206" s="236"/>
      <c r="AJ206" s="236">
        <v>0</v>
      </c>
      <c r="AK206" s="236">
        <v>0</v>
      </c>
      <c r="AL206" s="236">
        <v>0</v>
      </c>
      <c r="AM206" s="236"/>
      <c r="AN206" s="236"/>
      <c r="AO206" s="236"/>
      <c r="AP206" s="236"/>
      <c r="AQ206" s="236" t="s">
        <v>193</v>
      </c>
      <c r="AR206" s="276"/>
      <c r="AS206" s="276"/>
      <c r="AT206" s="276"/>
      <c r="AU206" s="250" t="s">
        <v>998</v>
      </c>
      <c r="AV206" s="276"/>
      <c r="AW206" s="236"/>
    </row>
    <row r="207" spans="1:49" s="240" customFormat="1" ht="45" customHeight="1">
      <c r="A207" s="276" t="s">
        <v>169</v>
      </c>
      <c r="B207" s="236">
        <v>1839</v>
      </c>
      <c r="C207" s="236" t="s">
        <v>999</v>
      </c>
      <c r="D207" s="276"/>
      <c r="E207" s="276" t="s">
        <v>1000</v>
      </c>
      <c r="F207" s="276" t="s">
        <v>172</v>
      </c>
      <c r="G207" s="276" t="s">
        <v>116</v>
      </c>
      <c r="H207" s="236" t="s">
        <v>270</v>
      </c>
      <c r="I207" s="276" t="s">
        <v>1001</v>
      </c>
      <c r="J207" s="236" t="s">
        <v>266</v>
      </c>
      <c r="K207" s="197">
        <v>920.54</v>
      </c>
      <c r="L207" s="277" t="s">
        <v>190</v>
      </c>
      <c r="M207" s="197">
        <v>2018</v>
      </c>
      <c r="N207" s="197">
        <v>2018</v>
      </c>
      <c r="O207" s="236" t="s">
        <v>193</v>
      </c>
      <c r="P207" s="236" t="s">
        <v>199</v>
      </c>
      <c r="Q207" s="236" t="s">
        <v>199</v>
      </c>
      <c r="R207" s="277" t="s">
        <v>320</v>
      </c>
      <c r="S207" s="236">
        <v>1</v>
      </c>
      <c r="T207" s="236">
        <v>919</v>
      </c>
      <c r="U207" s="236">
        <v>885</v>
      </c>
      <c r="V207" s="236"/>
      <c r="W207" s="236">
        <v>0</v>
      </c>
      <c r="X207" s="236">
        <v>0</v>
      </c>
      <c r="Y207" s="236">
        <v>0</v>
      </c>
      <c r="Z207" s="236">
        <v>885</v>
      </c>
      <c r="AA207" s="236">
        <v>0</v>
      </c>
      <c r="AB207" s="236">
        <v>0</v>
      </c>
      <c r="AC207" s="236">
        <v>34</v>
      </c>
      <c r="AD207" s="236" t="s">
        <v>145</v>
      </c>
      <c r="AE207" s="236">
        <v>3.7332133000000003E-2</v>
      </c>
      <c r="AF207" s="236" t="s">
        <v>182</v>
      </c>
      <c r="AG207" s="236">
        <v>1</v>
      </c>
      <c r="AH207" s="236">
        <v>0</v>
      </c>
      <c r="AI207" s="236"/>
      <c r="AJ207" s="236">
        <v>1</v>
      </c>
      <c r="AK207" s="236">
        <v>1</v>
      </c>
      <c r="AL207" s="236">
        <v>1</v>
      </c>
      <c r="AM207" s="236"/>
      <c r="AN207" s="236"/>
      <c r="AO207" s="236"/>
      <c r="AP207" s="236"/>
      <c r="AQ207" s="236">
        <v>555682187</v>
      </c>
      <c r="AR207" s="276"/>
      <c r="AS207" s="276"/>
      <c r="AT207" s="276" t="s">
        <v>180</v>
      </c>
      <c r="AU207" s="250" t="s">
        <v>1002</v>
      </c>
      <c r="AV207" s="276"/>
      <c r="AW207" s="236"/>
    </row>
    <row r="208" spans="1:49" s="240" customFormat="1" ht="29.25" customHeight="1">
      <c r="A208" s="276" t="s">
        <v>169</v>
      </c>
      <c r="B208" s="236">
        <v>3732</v>
      </c>
      <c r="C208" s="236" t="s">
        <v>1003</v>
      </c>
      <c r="D208" s="276"/>
      <c r="E208" s="276" t="s">
        <v>1004</v>
      </c>
      <c r="F208" s="276" t="s">
        <v>172</v>
      </c>
      <c r="G208" s="276" t="s">
        <v>116</v>
      </c>
      <c r="H208" s="236" t="s">
        <v>270</v>
      </c>
      <c r="I208" s="197" t="s">
        <v>1005</v>
      </c>
      <c r="J208" s="236" t="s">
        <v>266</v>
      </c>
      <c r="K208" s="197">
        <v>706.76</v>
      </c>
      <c r="L208" s="277" t="s">
        <v>190</v>
      </c>
      <c r="M208" s="197">
        <v>2018</v>
      </c>
      <c r="N208" s="197">
        <v>2018</v>
      </c>
      <c r="O208" s="236" t="s">
        <v>193</v>
      </c>
      <c r="P208" s="236" t="s">
        <v>199</v>
      </c>
      <c r="Q208" s="236" t="s">
        <v>199</v>
      </c>
      <c r="R208" s="277" t="s">
        <v>320</v>
      </c>
      <c r="S208" s="236">
        <v>1</v>
      </c>
      <c r="T208" s="236">
        <v>744</v>
      </c>
      <c r="U208" s="236">
        <v>720</v>
      </c>
      <c r="V208" s="236"/>
      <c r="W208" s="236">
        <v>0</v>
      </c>
      <c r="X208" s="236">
        <v>0</v>
      </c>
      <c r="Y208" s="236">
        <v>0</v>
      </c>
      <c r="Z208" s="236">
        <v>720</v>
      </c>
      <c r="AA208" s="236">
        <v>0</v>
      </c>
      <c r="AB208" s="236">
        <v>0</v>
      </c>
      <c r="AC208" s="236">
        <v>24</v>
      </c>
      <c r="AD208" s="236" t="s">
        <v>145</v>
      </c>
      <c r="AE208" s="236">
        <v>3.1983478000000003E-2</v>
      </c>
      <c r="AF208" s="236" t="s">
        <v>182</v>
      </c>
      <c r="AG208" s="236">
        <v>1</v>
      </c>
      <c r="AH208" s="236">
        <v>0</v>
      </c>
      <c r="AI208" s="236"/>
      <c r="AJ208" s="236">
        <v>1</v>
      </c>
      <c r="AK208" s="236">
        <v>1</v>
      </c>
      <c r="AL208" s="236">
        <v>1</v>
      </c>
      <c r="AM208" s="236"/>
      <c r="AN208" s="236"/>
      <c r="AO208" s="236"/>
      <c r="AP208" s="236"/>
      <c r="AQ208" s="236">
        <v>555682309</v>
      </c>
      <c r="AR208" s="276"/>
      <c r="AS208" s="276"/>
      <c r="AT208" s="276" t="s">
        <v>180</v>
      </c>
      <c r="AU208" s="250" t="s">
        <v>1006</v>
      </c>
      <c r="AV208" s="276"/>
      <c r="AW208" s="236"/>
    </row>
    <row r="209" spans="1:49" s="240" customFormat="1" ht="30" customHeight="1">
      <c r="A209" s="276" t="s">
        <v>169</v>
      </c>
      <c r="B209" s="236">
        <v>1841</v>
      </c>
      <c r="C209" s="236" t="s">
        <v>1007</v>
      </c>
      <c r="D209" s="276"/>
      <c r="E209" s="276" t="s">
        <v>1008</v>
      </c>
      <c r="F209" s="276" t="s">
        <v>172</v>
      </c>
      <c r="G209" s="276" t="s">
        <v>116</v>
      </c>
      <c r="H209" s="236" t="s">
        <v>270</v>
      </c>
      <c r="I209" s="197" t="s">
        <v>1009</v>
      </c>
      <c r="J209" s="236" t="s">
        <v>266</v>
      </c>
      <c r="K209" s="197">
        <v>1544</v>
      </c>
      <c r="L209" s="277" t="s">
        <v>190</v>
      </c>
      <c r="M209" s="197">
        <v>2018</v>
      </c>
      <c r="N209" s="197">
        <v>2018</v>
      </c>
      <c r="O209" s="236" t="s">
        <v>193</v>
      </c>
      <c r="P209" s="236" t="s">
        <v>199</v>
      </c>
      <c r="Q209" s="236" t="s">
        <v>199</v>
      </c>
      <c r="R209" s="277" t="s">
        <v>320</v>
      </c>
      <c r="S209" s="236">
        <v>0</v>
      </c>
      <c r="T209" s="237">
        <v>1544</v>
      </c>
      <c r="U209" s="237">
        <v>1544</v>
      </c>
      <c r="V209" s="236"/>
      <c r="W209" s="236">
        <v>0</v>
      </c>
      <c r="X209" s="236">
        <v>0</v>
      </c>
      <c r="Y209" s="236">
        <v>0</v>
      </c>
      <c r="Z209" s="237">
        <v>1544</v>
      </c>
      <c r="AA209" s="236">
        <v>0</v>
      </c>
      <c r="AB209" s="236">
        <v>0</v>
      </c>
      <c r="AC209" s="236">
        <v>0</v>
      </c>
      <c r="AD209" s="236" t="s">
        <v>145</v>
      </c>
      <c r="AE209" s="236">
        <v>0</v>
      </c>
      <c r="AF209" s="236" t="s">
        <v>182</v>
      </c>
      <c r="AG209" s="236">
        <v>1</v>
      </c>
      <c r="AH209" s="236">
        <v>0</v>
      </c>
      <c r="AI209" s="236"/>
      <c r="AJ209" s="236">
        <v>0</v>
      </c>
      <c r="AK209" s="236">
        <v>1</v>
      </c>
      <c r="AL209" s="236">
        <v>1</v>
      </c>
      <c r="AM209" s="236"/>
      <c r="AN209" s="236"/>
      <c r="AO209" s="236"/>
      <c r="AP209" s="236"/>
      <c r="AQ209" s="236">
        <v>555682354</v>
      </c>
      <c r="AR209" s="276"/>
      <c r="AS209" s="276"/>
      <c r="AT209" s="276" t="s">
        <v>180</v>
      </c>
      <c r="AU209" s="250" t="s">
        <v>1010</v>
      </c>
      <c r="AV209" s="276"/>
      <c r="AW209" s="236"/>
    </row>
    <row r="210" spans="1:49" s="240" customFormat="1" ht="33" customHeight="1">
      <c r="A210" s="276" t="s">
        <v>235</v>
      </c>
      <c r="B210" s="276"/>
      <c r="C210" s="276"/>
      <c r="D210" s="276"/>
      <c r="E210" s="277" t="s">
        <v>1011</v>
      </c>
      <c r="F210" s="276" t="s">
        <v>29</v>
      </c>
      <c r="G210" s="197" t="s">
        <v>220</v>
      </c>
      <c r="H210" s="236" t="s">
        <v>230</v>
      </c>
      <c r="I210" s="277" t="s">
        <v>1012</v>
      </c>
      <c r="J210" s="197" t="s">
        <v>1013</v>
      </c>
      <c r="K210" s="277">
        <v>4610</v>
      </c>
      <c r="L210" s="277" t="s">
        <v>190</v>
      </c>
      <c r="M210" s="277">
        <v>1984</v>
      </c>
      <c r="N210" s="277">
        <v>1984</v>
      </c>
      <c r="O210" s="277"/>
      <c r="P210" s="277"/>
      <c r="Q210" s="277"/>
      <c r="R210" s="277"/>
      <c r="S210" s="276"/>
      <c r="T210" s="276"/>
      <c r="U210" s="276"/>
      <c r="V210" s="277"/>
      <c r="W210" s="277"/>
      <c r="X210" s="277"/>
      <c r="Y210" s="277"/>
      <c r="Z210" s="277"/>
      <c r="AA210" s="277"/>
      <c r="AB210" s="277"/>
      <c r="AC210" s="277"/>
      <c r="AD210" s="277"/>
      <c r="AE210" s="277"/>
      <c r="AF210" s="277"/>
      <c r="AG210" s="277"/>
      <c r="AH210" s="277"/>
      <c r="AI210" s="277"/>
      <c r="AJ210" s="277"/>
      <c r="AK210" s="277"/>
      <c r="AL210" s="277"/>
      <c r="AM210" s="277"/>
      <c r="AN210" s="277"/>
      <c r="AO210" s="277"/>
      <c r="AP210" s="277"/>
      <c r="AQ210" s="277"/>
      <c r="AR210" s="277"/>
      <c r="AS210" s="276"/>
      <c r="AT210" s="277" t="s">
        <v>180</v>
      </c>
      <c r="AU210" s="277"/>
      <c r="AV210" s="276"/>
      <c r="AW210" s="236"/>
    </row>
    <row r="211" spans="1:49" s="240" customFormat="1" ht="31.5" customHeight="1">
      <c r="A211" s="276" t="s">
        <v>235</v>
      </c>
      <c r="B211" s="276"/>
      <c r="C211" s="276"/>
      <c r="D211" s="276"/>
      <c r="E211" s="276" t="s">
        <v>1014</v>
      </c>
      <c r="F211" s="277" t="s">
        <v>257</v>
      </c>
      <c r="G211" s="276" t="s">
        <v>116</v>
      </c>
      <c r="H211" s="198" t="s">
        <v>258</v>
      </c>
      <c r="I211" s="203" t="s">
        <v>1015</v>
      </c>
      <c r="J211" s="203" t="s">
        <v>1016</v>
      </c>
      <c r="K211" s="203"/>
      <c r="L211" s="277" t="s">
        <v>190</v>
      </c>
      <c r="M211" s="203"/>
      <c r="N211" s="203"/>
      <c r="O211" s="203"/>
      <c r="P211" s="276"/>
      <c r="Q211" s="276"/>
      <c r="R211" s="210"/>
      <c r="S211" s="203"/>
      <c r="T211" s="203"/>
      <c r="U211" s="203"/>
      <c r="V211" s="203"/>
      <c r="W211" s="203"/>
      <c r="X211" s="203"/>
      <c r="Y211" s="203"/>
      <c r="Z211" s="203"/>
      <c r="AA211" s="203"/>
      <c r="AB211" s="203"/>
      <c r="AC211" s="203"/>
      <c r="AD211" s="203"/>
      <c r="AE211" s="203"/>
      <c r="AF211" s="203"/>
      <c r="AG211" s="203"/>
      <c r="AH211" s="203"/>
      <c r="AI211" s="203"/>
      <c r="AJ211" s="203"/>
      <c r="AK211" s="203"/>
      <c r="AL211" s="203"/>
      <c r="AM211" s="203"/>
      <c r="AN211" s="203"/>
      <c r="AO211" s="203"/>
      <c r="AP211" s="203"/>
      <c r="AQ211" s="203"/>
      <c r="AR211" s="203"/>
      <c r="AS211" s="276"/>
      <c r="AT211" s="203"/>
      <c r="AU211" s="203"/>
      <c r="AV211" s="276"/>
      <c r="AW211" s="236"/>
    </row>
    <row r="212" spans="1:49" s="240" customFormat="1" ht="15" customHeight="1">
      <c r="A212" s="276" t="s">
        <v>169</v>
      </c>
      <c r="B212" s="198">
        <v>4099</v>
      </c>
      <c r="C212" s="213">
        <v>1740424099</v>
      </c>
      <c r="D212" s="276"/>
      <c r="E212" s="276" t="s">
        <v>1017</v>
      </c>
      <c r="F212" s="277" t="s">
        <v>257</v>
      </c>
      <c r="G212" s="276" t="s">
        <v>116</v>
      </c>
      <c r="H212" s="198" t="s">
        <v>258</v>
      </c>
      <c r="I212" s="276" t="s">
        <v>1018</v>
      </c>
      <c r="J212" s="198" t="s">
        <v>1019</v>
      </c>
      <c r="K212" s="198">
        <v>1617</v>
      </c>
      <c r="L212" s="277" t="s">
        <v>190</v>
      </c>
      <c r="M212" s="276">
        <v>2019</v>
      </c>
      <c r="N212" s="198">
        <v>2019</v>
      </c>
      <c r="O212" s="198" t="s">
        <v>193</v>
      </c>
      <c r="P212" s="198" t="s">
        <v>199</v>
      </c>
      <c r="Q212" s="198" t="s">
        <v>199</v>
      </c>
      <c r="R212" s="198" t="s">
        <v>1020</v>
      </c>
      <c r="S212" s="198">
        <v>1</v>
      </c>
      <c r="T212" s="213">
        <v>1617</v>
      </c>
      <c r="U212" s="213">
        <v>1617</v>
      </c>
      <c r="V212" s="198"/>
      <c r="W212" s="198">
        <v>0</v>
      </c>
      <c r="X212" s="198">
        <v>0</v>
      </c>
      <c r="Y212" s="198">
        <v>0</v>
      </c>
      <c r="Z212" s="213">
        <v>1617</v>
      </c>
      <c r="AA212" s="198">
        <v>0</v>
      </c>
      <c r="AB212" s="198">
        <v>0</v>
      </c>
      <c r="AC212" s="198">
        <v>0</v>
      </c>
      <c r="AD212" s="198" t="s">
        <v>145</v>
      </c>
      <c r="AE212" s="198">
        <v>0</v>
      </c>
      <c r="AF212" s="198" t="s">
        <v>208</v>
      </c>
      <c r="AG212" s="198">
        <v>0</v>
      </c>
      <c r="AH212" s="198">
        <v>1</v>
      </c>
      <c r="AI212" s="198"/>
      <c r="AJ212" s="198">
        <v>0</v>
      </c>
      <c r="AK212" s="198">
        <v>0</v>
      </c>
      <c r="AL212" s="198">
        <v>0</v>
      </c>
      <c r="AM212" s="198"/>
      <c r="AN212" s="198"/>
      <c r="AO212" s="198"/>
      <c r="AP212" s="198"/>
      <c r="AQ212" s="198">
        <v>555715676</v>
      </c>
      <c r="AR212" s="276"/>
      <c r="AS212" s="276"/>
      <c r="AT212" s="276" t="s">
        <v>180</v>
      </c>
      <c r="AU212" s="250" t="s">
        <v>1021</v>
      </c>
      <c r="AV212" s="276"/>
      <c r="AW212" s="236"/>
    </row>
    <row r="213" spans="1:49" s="240" customFormat="1" ht="33" customHeight="1">
      <c r="A213" s="276" t="s">
        <v>169</v>
      </c>
      <c r="B213" s="236">
        <v>1575</v>
      </c>
      <c r="C213" s="236" t="s">
        <v>1022</v>
      </c>
      <c r="D213" s="276"/>
      <c r="E213" s="276" t="s">
        <v>1023</v>
      </c>
      <c r="F213" s="276" t="s">
        <v>279</v>
      </c>
      <c r="G213" s="276" t="s">
        <v>116</v>
      </c>
      <c r="H213" s="236" t="s">
        <v>270</v>
      </c>
      <c r="I213" s="276" t="s">
        <v>1024</v>
      </c>
      <c r="J213" s="236" t="s">
        <v>266</v>
      </c>
      <c r="K213" s="219">
        <v>4274.43</v>
      </c>
      <c r="L213" s="277" t="s">
        <v>190</v>
      </c>
      <c r="M213" s="276">
        <v>2019</v>
      </c>
      <c r="N213" s="236">
        <v>2019</v>
      </c>
      <c r="O213" s="276" t="s">
        <v>1025</v>
      </c>
      <c r="P213" s="276" t="s">
        <v>180</v>
      </c>
      <c r="Q213" s="236" t="s">
        <v>121</v>
      </c>
      <c r="R213" s="277" t="s">
        <v>320</v>
      </c>
      <c r="S213" s="236">
        <v>1</v>
      </c>
      <c r="T213" s="237">
        <v>4272</v>
      </c>
      <c r="U213" s="237">
        <v>4251</v>
      </c>
      <c r="V213" s="236"/>
      <c r="W213" s="236">
        <v>0</v>
      </c>
      <c r="X213" s="236">
        <v>0</v>
      </c>
      <c r="Y213" s="236">
        <v>0</v>
      </c>
      <c r="Z213" s="237">
        <v>4251</v>
      </c>
      <c r="AA213" s="236">
        <v>0</v>
      </c>
      <c r="AB213" s="236">
        <v>0</v>
      </c>
      <c r="AC213" s="236">
        <v>20</v>
      </c>
      <c r="AD213" s="236" t="s">
        <v>145</v>
      </c>
      <c r="AE213" s="236">
        <v>4.7645999999999999E-3</v>
      </c>
      <c r="AF213" s="236" t="s">
        <v>182</v>
      </c>
      <c r="AG213" s="236">
        <v>1</v>
      </c>
      <c r="AH213" s="236">
        <v>0</v>
      </c>
      <c r="AI213" s="236"/>
      <c r="AJ213" s="236">
        <v>1</v>
      </c>
      <c r="AK213" s="236">
        <v>1</v>
      </c>
      <c r="AL213" s="236">
        <v>1</v>
      </c>
      <c r="AM213" s="236"/>
      <c r="AN213" s="236"/>
      <c r="AO213" s="236"/>
      <c r="AP213" s="236"/>
      <c r="AQ213" s="236">
        <v>555682970</v>
      </c>
      <c r="AR213" s="276"/>
      <c r="AS213" s="276"/>
      <c r="AT213" s="276" t="s">
        <v>180</v>
      </c>
      <c r="AU213" s="250" t="s">
        <v>1026</v>
      </c>
      <c r="AV213" s="276"/>
      <c r="AW213" s="236"/>
    </row>
    <row r="214" spans="1:49" s="240" customFormat="1" ht="31.5" customHeight="1">
      <c r="A214" s="276" t="s">
        <v>169</v>
      </c>
      <c r="B214" s="236">
        <v>3953</v>
      </c>
      <c r="C214" s="236" t="s">
        <v>1027</v>
      </c>
      <c r="D214" s="276"/>
      <c r="E214" s="276" t="s">
        <v>1028</v>
      </c>
      <c r="F214" s="276" t="s">
        <v>54</v>
      </c>
      <c r="G214" s="197" t="s">
        <v>220</v>
      </c>
      <c r="H214" s="236" t="s">
        <v>270</v>
      </c>
      <c r="I214" s="276" t="s">
        <v>1029</v>
      </c>
      <c r="J214" s="236" t="s">
        <v>354</v>
      </c>
      <c r="K214" s="276">
        <v>15.823</v>
      </c>
      <c r="L214" s="277" t="s">
        <v>190</v>
      </c>
      <c r="M214" s="276">
        <v>2019</v>
      </c>
      <c r="N214" s="236">
        <v>2019</v>
      </c>
      <c r="O214" s="236" t="s">
        <v>193</v>
      </c>
      <c r="P214" s="276" t="s">
        <v>319</v>
      </c>
      <c r="Q214" s="236" t="s">
        <v>199</v>
      </c>
      <c r="R214" s="277"/>
      <c r="S214" s="236">
        <v>1</v>
      </c>
      <c r="T214" s="236">
        <v>15</v>
      </c>
      <c r="U214" s="236">
        <v>15</v>
      </c>
      <c r="V214" s="236"/>
      <c r="W214" s="236">
        <v>0</v>
      </c>
      <c r="X214" s="236">
        <v>0</v>
      </c>
      <c r="Y214" s="236">
        <v>0</v>
      </c>
      <c r="Z214" s="236">
        <v>15</v>
      </c>
      <c r="AA214" s="236">
        <v>0</v>
      </c>
      <c r="AB214" s="236">
        <v>0</v>
      </c>
      <c r="AC214" s="236">
        <v>0</v>
      </c>
      <c r="AD214" s="236" t="s">
        <v>145</v>
      </c>
      <c r="AE214" s="236">
        <v>0</v>
      </c>
      <c r="AF214" s="236" t="s">
        <v>208</v>
      </c>
      <c r="AG214" s="236">
        <v>0</v>
      </c>
      <c r="AH214" s="236">
        <v>1</v>
      </c>
      <c r="AI214" s="236"/>
      <c r="AJ214" s="236">
        <v>0</v>
      </c>
      <c r="AK214" s="236">
        <v>1</v>
      </c>
      <c r="AL214" s="236">
        <v>1</v>
      </c>
      <c r="AM214" s="236"/>
      <c r="AN214" s="236"/>
      <c r="AO214" s="236"/>
      <c r="AP214" s="236"/>
      <c r="AQ214" s="236">
        <v>555682223</v>
      </c>
      <c r="AR214" s="276" t="s">
        <v>193</v>
      </c>
      <c r="AS214" s="276"/>
      <c r="AT214" s="276" t="s">
        <v>180</v>
      </c>
      <c r="AU214" s="250" t="s">
        <v>792</v>
      </c>
      <c r="AV214" s="276"/>
      <c r="AW214" s="236"/>
    </row>
    <row r="215" spans="1:49" s="240" customFormat="1" ht="31.5" customHeight="1">
      <c r="A215" s="276" t="s">
        <v>169</v>
      </c>
      <c r="B215" s="236">
        <v>3950</v>
      </c>
      <c r="C215" s="236" t="s">
        <v>1030</v>
      </c>
      <c r="D215" s="276"/>
      <c r="E215" s="276" t="s">
        <v>1031</v>
      </c>
      <c r="F215" s="276" t="s">
        <v>54</v>
      </c>
      <c r="G215" s="197" t="s">
        <v>220</v>
      </c>
      <c r="H215" s="236" t="s">
        <v>270</v>
      </c>
      <c r="I215" s="197" t="s">
        <v>1032</v>
      </c>
      <c r="J215" s="236" t="s">
        <v>548</v>
      </c>
      <c r="K215" s="276">
        <v>0.7</v>
      </c>
      <c r="L215" s="277" t="s">
        <v>190</v>
      </c>
      <c r="M215" s="276">
        <v>2019</v>
      </c>
      <c r="N215" s="236">
        <v>2019</v>
      </c>
      <c r="O215" s="236" t="s">
        <v>193</v>
      </c>
      <c r="P215" s="276" t="s">
        <v>319</v>
      </c>
      <c r="Q215" s="236" t="s">
        <v>199</v>
      </c>
      <c r="R215" s="277"/>
      <c r="S215" s="236">
        <v>1</v>
      </c>
      <c r="T215" s="236">
        <v>1</v>
      </c>
      <c r="U215" s="236">
        <v>1</v>
      </c>
      <c r="V215" s="236"/>
      <c r="W215" s="236">
        <v>0</v>
      </c>
      <c r="X215" s="236">
        <v>0</v>
      </c>
      <c r="Y215" s="236">
        <v>0</v>
      </c>
      <c r="Z215" s="236">
        <v>1</v>
      </c>
      <c r="AA215" s="236">
        <v>0</v>
      </c>
      <c r="AB215" s="236">
        <v>0</v>
      </c>
      <c r="AC215" s="236">
        <v>0</v>
      </c>
      <c r="AD215" s="236" t="s">
        <v>145</v>
      </c>
      <c r="AE215" s="236">
        <v>0</v>
      </c>
      <c r="AF215" s="236" t="s">
        <v>208</v>
      </c>
      <c r="AG215" s="236">
        <v>0</v>
      </c>
      <c r="AH215" s="236">
        <v>1</v>
      </c>
      <c r="AI215" s="236"/>
      <c r="AJ215" s="236">
        <v>0</v>
      </c>
      <c r="AK215" s="236">
        <v>1</v>
      </c>
      <c r="AL215" s="236">
        <v>1</v>
      </c>
      <c r="AM215" s="236"/>
      <c r="AN215" s="236"/>
      <c r="AO215" s="236"/>
      <c r="AP215" s="236"/>
      <c r="AQ215" s="236">
        <v>555682147</v>
      </c>
      <c r="AR215" s="276" t="s">
        <v>193</v>
      </c>
      <c r="AS215" s="276"/>
      <c r="AT215" s="276" t="s">
        <v>180</v>
      </c>
      <c r="AU215" s="250" t="s">
        <v>792</v>
      </c>
      <c r="AV215" s="276"/>
      <c r="AW215" s="236"/>
    </row>
    <row r="216" spans="1:49" ht="33" customHeight="1">
      <c r="A216" s="236" t="s">
        <v>169</v>
      </c>
      <c r="B216" s="236">
        <v>4468</v>
      </c>
      <c r="C216" s="236" t="s">
        <v>1033</v>
      </c>
      <c r="D216" s="236"/>
      <c r="E216" s="236" t="s">
        <v>1034</v>
      </c>
      <c r="F216" s="276" t="s">
        <v>54</v>
      </c>
      <c r="G216" s="276" t="s">
        <v>173</v>
      </c>
      <c r="H216" s="236" t="s">
        <v>270</v>
      </c>
      <c r="I216" s="205" t="s">
        <v>1035</v>
      </c>
      <c r="J216" s="236" t="s">
        <v>710</v>
      </c>
      <c r="K216" s="236">
        <v>98.83</v>
      </c>
      <c r="L216" s="277" t="s">
        <v>190</v>
      </c>
      <c r="M216" s="276">
        <v>2020</v>
      </c>
      <c r="N216" s="276">
        <v>2010</v>
      </c>
      <c r="O216" s="236" t="s">
        <v>193</v>
      </c>
      <c r="P216" s="236" t="s">
        <v>199</v>
      </c>
      <c r="Q216" s="236" t="s">
        <v>199</v>
      </c>
      <c r="R216" s="238" t="s">
        <v>181</v>
      </c>
      <c r="S216" s="236">
        <v>1</v>
      </c>
      <c r="T216" s="236">
        <v>99</v>
      </c>
      <c r="U216" s="236">
        <v>99</v>
      </c>
      <c r="V216" s="236"/>
      <c r="W216" s="236">
        <v>0</v>
      </c>
      <c r="X216" s="236">
        <v>0</v>
      </c>
      <c r="Y216" s="236">
        <v>0</v>
      </c>
      <c r="Z216" s="236">
        <v>99</v>
      </c>
      <c r="AA216" s="236">
        <v>0</v>
      </c>
      <c r="AB216" s="236">
        <v>0</v>
      </c>
      <c r="AC216" s="236">
        <v>0</v>
      </c>
      <c r="AD216" s="236" t="s">
        <v>145</v>
      </c>
      <c r="AE216" s="236">
        <v>0</v>
      </c>
      <c r="AF216" s="236" t="s">
        <v>208</v>
      </c>
      <c r="AG216" s="236">
        <v>0</v>
      </c>
      <c r="AH216" s="236">
        <v>1</v>
      </c>
      <c r="AI216" s="236"/>
      <c r="AJ216" s="236">
        <v>0</v>
      </c>
      <c r="AK216" s="236">
        <v>0</v>
      </c>
      <c r="AL216" s="236">
        <v>0</v>
      </c>
      <c r="AM216" s="236"/>
      <c r="AN216" s="236"/>
      <c r="AO216" s="236"/>
      <c r="AP216" s="236"/>
      <c r="AQ216" s="236">
        <v>555759216</v>
      </c>
      <c r="AR216" s="236" t="s">
        <v>193</v>
      </c>
      <c r="AS216" s="236" t="s">
        <v>193</v>
      </c>
      <c r="AT216" s="236" t="s">
        <v>180</v>
      </c>
      <c r="AU216" s="206"/>
      <c r="AV216" s="236"/>
      <c r="AW216" s="236"/>
    </row>
    <row r="217" spans="1:49" s="240" customFormat="1" ht="15" customHeight="1">
      <c r="A217" s="276" t="s">
        <v>169</v>
      </c>
      <c r="B217" s="236">
        <v>4148</v>
      </c>
      <c r="C217" s="236" t="s">
        <v>1036</v>
      </c>
      <c r="D217" s="276"/>
      <c r="E217" s="276" t="s">
        <v>1037</v>
      </c>
      <c r="F217" s="276" t="s">
        <v>54</v>
      </c>
      <c r="G217" s="197" t="s">
        <v>220</v>
      </c>
      <c r="H217" s="236" t="s">
        <v>270</v>
      </c>
      <c r="I217" s="197" t="s">
        <v>1038</v>
      </c>
      <c r="J217" s="236" t="s">
        <v>1039</v>
      </c>
      <c r="K217" s="276">
        <v>16.829999999999998</v>
      </c>
      <c r="L217" s="277" t="s">
        <v>190</v>
      </c>
      <c r="M217" s="276">
        <v>2020</v>
      </c>
      <c r="N217" s="236">
        <v>2020</v>
      </c>
      <c r="O217" s="236" t="s">
        <v>193</v>
      </c>
      <c r="P217" s="276" t="s">
        <v>319</v>
      </c>
      <c r="Q217" s="236" t="s">
        <v>199</v>
      </c>
      <c r="R217" s="277"/>
      <c r="S217" s="236">
        <v>1</v>
      </c>
      <c r="T217" s="236">
        <v>17</v>
      </c>
      <c r="U217" s="236">
        <v>17</v>
      </c>
      <c r="V217" s="236"/>
      <c r="W217" s="236">
        <v>0</v>
      </c>
      <c r="X217" s="236">
        <v>0</v>
      </c>
      <c r="Y217" s="236">
        <v>0</v>
      </c>
      <c r="Z217" s="236">
        <v>17</v>
      </c>
      <c r="AA217" s="236">
        <v>0</v>
      </c>
      <c r="AB217" s="236">
        <v>0</v>
      </c>
      <c r="AC217" s="236">
        <v>0</v>
      </c>
      <c r="AD217" s="236" t="s">
        <v>145</v>
      </c>
      <c r="AE217" s="236">
        <v>0</v>
      </c>
      <c r="AF217" s="236" t="s">
        <v>208</v>
      </c>
      <c r="AG217" s="236">
        <v>0</v>
      </c>
      <c r="AH217" s="236">
        <v>1</v>
      </c>
      <c r="AI217" s="236"/>
      <c r="AJ217" s="236">
        <v>0</v>
      </c>
      <c r="AK217" s="236">
        <v>0</v>
      </c>
      <c r="AL217" s="236">
        <v>0</v>
      </c>
      <c r="AM217" s="236"/>
      <c r="AN217" s="236"/>
      <c r="AO217" s="236"/>
      <c r="AP217" s="236"/>
      <c r="AQ217" s="236">
        <v>555759107</v>
      </c>
      <c r="AR217" s="276" t="s">
        <v>193</v>
      </c>
      <c r="AS217" s="276"/>
      <c r="AT217" s="276" t="s">
        <v>180</v>
      </c>
      <c r="AU217" s="250" t="s">
        <v>792</v>
      </c>
      <c r="AV217" s="276"/>
      <c r="AW217" s="236"/>
    </row>
    <row r="218" spans="1:49" s="240" customFormat="1" ht="29.25" customHeight="1">
      <c r="A218" s="276" t="s">
        <v>169</v>
      </c>
      <c r="B218" s="236">
        <v>4146</v>
      </c>
      <c r="C218" s="236" t="s">
        <v>1040</v>
      </c>
      <c r="D218" s="276"/>
      <c r="E218" s="276" t="s">
        <v>1041</v>
      </c>
      <c r="F218" s="276" t="s">
        <v>54</v>
      </c>
      <c r="G218" s="197" t="s">
        <v>220</v>
      </c>
      <c r="H218" s="236" t="s">
        <v>270</v>
      </c>
      <c r="I218" s="197" t="s">
        <v>1042</v>
      </c>
      <c r="J218" s="236" t="s">
        <v>1043</v>
      </c>
      <c r="K218" s="276">
        <v>1.57</v>
      </c>
      <c r="L218" s="277" t="s">
        <v>190</v>
      </c>
      <c r="M218" s="276">
        <v>2020</v>
      </c>
      <c r="N218" s="236">
        <v>2020</v>
      </c>
      <c r="O218" s="236" t="s">
        <v>193</v>
      </c>
      <c r="P218" s="276" t="s">
        <v>319</v>
      </c>
      <c r="Q218" s="236" t="s">
        <v>199</v>
      </c>
      <c r="R218" s="277"/>
      <c r="S218" s="236">
        <v>1</v>
      </c>
      <c r="T218" s="236">
        <v>2</v>
      </c>
      <c r="U218" s="236">
        <v>2</v>
      </c>
      <c r="V218" s="236"/>
      <c r="W218" s="236">
        <v>0</v>
      </c>
      <c r="X218" s="236">
        <v>0</v>
      </c>
      <c r="Y218" s="236">
        <v>0</v>
      </c>
      <c r="Z218" s="236">
        <v>2</v>
      </c>
      <c r="AA218" s="236">
        <v>0</v>
      </c>
      <c r="AB218" s="236">
        <v>0</v>
      </c>
      <c r="AC218" s="236">
        <v>0</v>
      </c>
      <c r="AD218" s="236" t="s">
        <v>145</v>
      </c>
      <c r="AE218" s="236">
        <v>0</v>
      </c>
      <c r="AF218" s="236" t="s">
        <v>208</v>
      </c>
      <c r="AG218" s="236">
        <v>0</v>
      </c>
      <c r="AH218" s="236">
        <v>1</v>
      </c>
      <c r="AI218" s="236"/>
      <c r="AJ218" s="236">
        <v>0</v>
      </c>
      <c r="AK218" s="236">
        <v>1</v>
      </c>
      <c r="AL218" s="236">
        <v>1</v>
      </c>
      <c r="AM218" s="236"/>
      <c r="AN218" s="236"/>
      <c r="AO218" s="236"/>
      <c r="AP218" s="236"/>
      <c r="AQ218" s="236">
        <v>555759111</v>
      </c>
      <c r="AR218" s="276" t="s">
        <v>193</v>
      </c>
      <c r="AS218" s="276"/>
      <c r="AT218" s="276" t="s">
        <v>180</v>
      </c>
      <c r="AU218" s="250" t="s">
        <v>792</v>
      </c>
      <c r="AV218" s="276"/>
      <c r="AW218" s="236"/>
    </row>
    <row r="219" spans="1:49" s="240" customFormat="1" ht="15" customHeight="1">
      <c r="A219" s="276" t="s">
        <v>169</v>
      </c>
      <c r="B219" s="236">
        <v>4147</v>
      </c>
      <c r="C219" s="236" t="s">
        <v>1044</v>
      </c>
      <c r="D219" s="276"/>
      <c r="E219" s="276" t="s">
        <v>1045</v>
      </c>
      <c r="F219" s="276" t="s">
        <v>54</v>
      </c>
      <c r="G219" s="197" t="s">
        <v>220</v>
      </c>
      <c r="H219" s="236" t="s">
        <v>270</v>
      </c>
      <c r="I219" s="197" t="s">
        <v>1046</v>
      </c>
      <c r="J219" s="236" t="s">
        <v>1047</v>
      </c>
      <c r="K219" s="276">
        <v>6.577</v>
      </c>
      <c r="L219" s="277" t="s">
        <v>190</v>
      </c>
      <c r="M219" s="276">
        <v>2020</v>
      </c>
      <c r="N219" s="236">
        <v>2020</v>
      </c>
      <c r="O219" s="236" t="s">
        <v>193</v>
      </c>
      <c r="P219" s="276" t="s">
        <v>319</v>
      </c>
      <c r="Q219" s="236" t="s">
        <v>199</v>
      </c>
      <c r="R219" s="277"/>
      <c r="S219" s="236">
        <v>1</v>
      </c>
      <c r="T219" s="236">
        <v>7</v>
      </c>
      <c r="U219" s="236">
        <v>7</v>
      </c>
      <c r="V219" s="236"/>
      <c r="W219" s="236">
        <v>0</v>
      </c>
      <c r="X219" s="236">
        <v>0</v>
      </c>
      <c r="Y219" s="236">
        <v>0</v>
      </c>
      <c r="Z219" s="236">
        <v>7</v>
      </c>
      <c r="AA219" s="236">
        <v>0</v>
      </c>
      <c r="AB219" s="236">
        <v>0</v>
      </c>
      <c r="AC219" s="236">
        <v>0</v>
      </c>
      <c r="AD219" s="236" t="s">
        <v>145</v>
      </c>
      <c r="AE219" s="236">
        <v>0</v>
      </c>
      <c r="AF219" s="236" t="s">
        <v>208</v>
      </c>
      <c r="AG219" s="236">
        <v>0</v>
      </c>
      <c r="AH219" s="236">
        <v>1</v>
      </c>
      <c r="AI219" s="236"/>
      <c r="AJ219" s="236">
        <v>0</v>
      </c>
      <c r="AK219" s="236">
        <v>0</v>
      </c>
      <c r="AL219" s="236">
        <v>0</v>
      </c>
      <c r="AM219" s="236"/>
      <c r="AN219" s="236"/>
      <c r="AO219" s="236"/>
      <c r="AP219" s="236"/>
      <c r="AQ219" s="236">
        <v>555759112</v>
      </c>
      <c r="AR219" s="276" t="s">
        <v>193</v>
      </c>
      <c r="AS219" s="276"/>
      <c r="AT219" s="276" t="s">
        <v>180</v>
      </c>
      <c r="AU219" s="250" t="s">
        <v>792</v>
      </c>
      <c r="AV219" s="276"/>
      <c r="AW219" s="236"/>
    </row>
    <row r="220" spans="1:49" s="240" customFormat="1" ht="15" customHeight="1">
      <c r="A220" s="276" t="s">
        <v>169</v>
      </c>
      <c r="B220" s="236">
        <v>4150</v>
      </c>
      <c r="C220" s="236" t="s">
        <v>1048</v>
      </c>
      <c r="D220" s="276"/>
      <c r="E220" s="276" t="s">
        <v>1049</v>
      </c>
      <c r="F220" s="276" t="s">
        <v>172</v>
      </c>
      <c r="G220" s="276" t="s">
        <v>116</v>
      </c>
      <c r="H220" s="236" t="s">
        <v>270</v>
      </c>
      <c r="I220" s="276" t="s">
        <v>1050</v>
      </c>
      <c r="J220" s="236" t="s">
        <v>1051</v>
      </c>
      <c r="K220" s="276">
        <v>56.74</v>
      </c>
      <c r="L220" s="277" t="s">
        <v>190</v>
      </c>
      <c r="M220" s="276">
        <v>2020</v>
      </c>
      <c r="N220" s="276">
        <v>2023</v>
      </c>
      <c r="O220" s="276" t="s">
        <v>1052</v>
      </c>
      <c r="P220" s="236" t="s">
        <v>199</v>
      </c>
      <c r="Q220" s="236" t="s">
        <v>199</v>
      </c>
      <c r="R220" s="277" t="s">
        <v>1053</v>
      </c>
      <c r="S220" s="236">
        <v>1</v>
      </c>
      <c r="T220" s="236">
        <v>56</v>
      </c>
      <c r="U220" s="236">
        <v>56</v>
      </c>
      <c r="V220" s="236"/>
      <c r="W220" s="236">
        <v>0</v>
      </c>
      <c r="X220" s="236">
        <v>0</v>
      </c>
      <c r="Y220" s="236">
        <v>0</v>
      </c>
      <c r="Z220" s="276">
        <v>56</v>
      </c>
      <c r="AA220" s="236">
        <v>0</v>
      </c>
      <c r="AB220" s="236">
        <v>0</v>
      </c>
      <c r="AC220" s="236">
        <v>0</v>
      </c>
      <c r="AD220" s="236" t="s">
        <v>145</v>
      </c>
      <c r="AE220" s="236">
        <v>0</v>
      </c>
      <c r="AF220" s="236" t="s">
        <v>182</v>
      </c>
      <c r="AG220" s="236">
        <v>1</v>
      </c>
      <c r="AH220" s="236">
        <v>0</v>
      </c>
      <c r="AI220" s="236"/>
      <c r="AJ220" s="236">
        <v>0</v>
      </c>
      <c r="AK220" s="236">
        <v>1</v>
      </c>
      <c r="AL220" s="236">
        <v>1</v>
      </c>
      <c r="AM220" s="236"/>
      <c r="AN220" s="236"/>
      <c r="AO220" s="236"/>
      <c r="AP220" s="236"/>
      <c r="AQ220" s="211">
        <v>555759028</v>
      </c>
      <c r="AR220" s="276"/>
      <c r="AS220" s="276"/>
      <c r="AT220" s="276" t="s">
        <v>180</v>
      </c>
      <c r="AU220" s="250" t="s">
        <v>1054</v>
      </c>
      <c r="AV220" s="276"/>
      <c r="AW220" s="236"/>
    </row>
    <row r="221" spans="1:49" s="240" customFormat="1" ht="15" customHeight="1">
      <c r="A221" s="276" t="s">
        <v>169</v>
      </c>
      <c r="B221" s="236">
        <v>4140</v>
      </c>
      <c r="C221" s="236" t="s">
        <v>1055</v>
      </c>
      <c r="D221" s="276"/>
      <c r="E221" s="276" t="s">
        <v>1056</v>
      </c>
      <c r="F221" s="276" t="s">
        <v>172</v>
      </c>
      <c r="G221" s="276" t="s">
        <v>116</v>
      </c>
      <c r="H221" s="236" t="s">
        <v>270</v>
      </c>
      <c r="I221" s="276" t="s">
        <v>1057</v>
      </c>
      <c r="J221" s="236" t="s">
        <v>1058</v>
      </c>
      <c r="K221" s="276">
        <v>3.43</v>
      </c>
      <c r="L221" s="277" t="s">
        <v>190</v>
      </c>
      <c r="M221" s="276">
        <v>2020</v>
      </c>
      <c r="N221" s="276">
        <v>2023</v>
      </c>
      <c r="O221" s="276" t="s">
        <v>1059</v>
      </c>
      <c r="P221" s="236" t="s">
        <v>199</v>
      </c>
      <c r="Q221" s="236" t="s">
        <v>199</v>
      </c>
      <c r="R221" s="277" t="s">
        <v>1060</v>
      </c>
      <c r="S221" s="236">
        <v>0</v>
      </c>
      <c r="T221" s="236">
        <v>3</v>
      </c>
      <c r="U221" s="236">
        <v>3</v>
      </c>
      <c r="V221" s="236">
        <v>3.43</v>
      </c>
      <c r="W221" s="236"/>
      <c r="X221" s="236">
        <v>0</v>
      </c>
      <c r="Y221" s="236">
        <v>0</v>
      </c>
      <c r="Z221" s="236">
        <v>0</v>
      </c>
      <c r="AA221" s="236">
        <v>3</v>
      </c>
      <c r="AB221" s="236">
        <v>0</v>
      </c>
      <c r="AC221" s="236">
        <v>0</v>
      </c>
      <c r="AD221" s="236">
        <v>0</v>
      </c>
      <c r="AE221" s="236" t="s">
        <v>145</v>
      </c>
      <c r="AF221" s="236">
        <v>0</v>
      </c>
      <c r="AG221" s="236" t="s">
        <v>182</v>
      </c>
      <c r="AH221" s="236">
        <v>1</v>
      </c>
      <c r="AI221" s="236">
        <v>0</v>
      </c>
      <c r="AJ221" s="236"/>
      <c r="AK221" s="236">
        <v>0</v>
      </c>
      <c r="AL221" s="236">
        <v>0</v>
      </c>
      <c r="AM221" s="236">
        <v>0</v>
      </c>
      <c r="AN221" s="236"/>
      <c r="AO221" s="236"/>
      <c r="AP221" s="236"/>
      <c r="AQ221" s="236"/>
      <c r="AR221" s="236">
        <v>555759242</v>
      </c>
      <c r="AS221" s="276"/>
      <c r="AT221" s="276" t="s">
        <v>180</v>
      </c>
      <c r="AU221" s="250" t="s">
        <v>1061</v>
      </c>
      <c r="AV221" s="276"/>
      <c r="AW221" s="236"/>
    </row>
    <row r="222" spans="1:49" s="240" customFormat="1" ht="18" customHeight="1">
      <c r="A222" s="276" t="s">
        <v>235</v>
      </c>
      <c r="B222" s="276"/>
      <c r="C222" s="276"/>
      <c r="D222" s="276"/>
      <c r="E222" s="276" t="s">
        <v>1062</v>
      </c>
      <c r="F222" s="276" t="s">
        <v>295</v>
      </c>
      <c r="G222" s="276" t="s">
        <v>116</v>
      </c>
      <c r="H222" s="236" t="s">
        <v>270</v>
      </c>
      <c r="I222" s="276" t="s">
        <v>1063</v>
      </c>
      <c r="J222" s="276" t="s">
        <v>1064</v>
      </c>
      <c r="K222" s="276">
        <v>46.26</v>
      </c>
      <c r="L222" s="277" t="s">
        <v>190</v>
      </c>
      <c r="M222" s="276">
        <v>2001</v>
      </c>
      <c r="N222" s="276"/>
      <c r="O222" s="276"/>
      <c r="P222" s="276"/>
      <c r="Q222" s="276"/>
      <c r="R222" s="277"/>
      <c r="S222" s="276"/>
      <c r="T222" s="276"/>
      <c r="U222" s="276"/>
      <c r="V222" s="276"/>
      <c r="W222" s="276"/>
      <c r="X222" s="276"/>
      <c r="Y222" s="276"/>
      <c r="Z222" s="276"/>
      <c r="AA222" s="276"/>
      <c r="AB222" s="276"/>
      <c r="AC222" s="276"/>
      <c r="AD222" s="276"/>
      <c r="AE222" s="276"/>
      <c r="AF222" s="276"/>
      <c r="AG222" s="276"/>
      <c r="AH222" s="276"/>
      <c r="AI222" s="276"/>
      <c r="AJ222" s="276"/>
      <c r="AK222" s="276"/>
      <c r="AL222" s="276"/>
      <c r="AM222" s="276"/>
      <c r="AN222" s="276"/>
      <c r="AO222" s="276"/>
      <c r="AP222" s="276"/>
      <c r="AQ222" s="276"/>
      <c r="AR222" s="276"/>
      <c r="AS222" s="276"/>
      <c r="AT222" s="276"/>
      <c r="AU222" s="276"/>
      <c r="AV222" s="276"/>
      <c r="AW222" s="236"/>
    </row>
    <row r="223" spans="1:49" s="240" customFormat="1" ht="30.75" customHeight="1">
      <c r="A223" s="236" t="s">
        <v>235</v>
      </c>
      <c r="B223" s="236"/>
      <c r="C223" s="236"/>
      <c r="D223" s="236"/>
      <c r="E223" s="199" t="s">
        <v>1065</v>
      </c>
      <c r="F223" s="276" t="s">
        <v>54</v>
      </c>
      <c r="G223" s="276" t="s">
        <v>173</v>
      </c>
      <c r="H223" s="236" t="s">
        <v>270</v>
      </c>
      <c r="I223" s="205" t="s">
        <v>1066</v>
      </c>
      <c r="J223" s="236" t="s">
        <v>1064</v>
      </c>
      <c r="K223" s="236">
        <v>14.25</v>
      </c>
      <c r="L223" s="277" t="s">
        <v>190</v>
      </c>
      <c r="M223" s="197">
        <v>2023</v>
      </c>
      <c r="N223" s="197"/>
      <c r="O223" s="205"/>
      <c r="P223" s="276"/>
      <c r="Q223" s="276"/>
      <c r="R223" s="277"/>
      <c r="S223" s="276"/>
      <c r="T223" s="276"/>
      <c r="U223" s="276"/>
      <c r="V223" s="276"/>
      <c r="W223" s="276"/>
      <c r="X223" s="276"/>
      <c r="Y223" s="276"/>
      <c r="Z223" s="236"/>
      <c r="AA223" s="236"/>
      <c r="AB223" s="236"/>
      <c r="AC223" s="236"/>
      <c r="AD223" s="236"/>
      <c r="AE223" s="236"/>
      <c r="AF223" s="236"/>
      <c r="AG223" s="236"/>
      <c r="AH223" s="236"/>
      <c r="AI223" s="236"/>
      <c r="AJ223" s="236"/>
      <c r="AK223" s="236"/>
      <c r="AL223" s="236"/>
      <c r="AM223" s="236"/>
      <c r="AN223" s="236"/>
      <c r="AO223" s="236"/>
      <c r="AP223" s="236"/>
      <c r="AQ223" s="236"/>
      <c r="AR223" s="236"/>
      <c r="AS223" s="236" t="s">
        <v>193</v>
      </c>
      <c r="AT223" s="236"/>
      <c r="AU223" s="206"/>
      <c r="AV223" s="236"/>
      <c r="AW223" s="236"/>
    </row>
    <row r="224" spans="1:49" s="240" customFormat="1" ht="30" customHeight="1">
      <c r="A224" s="276" t="s">
        <v>235</v>
      </c>
      <c r="B224" s="276"/>
      <c r="C224" s="276"/>
      <c r="D224" s="276"/>
      <c r="E224" s="276" t="s">
        <v>1067</v>
      </c>
      <c r="F224" s="277" t="s">
        <v>257</v>
      </c>
      <c r="G224" s="276" t="s">
        <v>116</v>
      </c>
      <c r="H224" s="198" t="s">
        <v>258</v>
      </c>
      <c r="I224" s="276" t="s">
        <v>1068</v>
      </c>
      <c r="J224" s="276" t="s">
        <v>1069</v>
      </c>
      <c r="K224" s="276" t="s">
        <v>368</v>
      </c>
      <c r="L224" s="277" t="s">
        <v>190</v>
      </c>
      <c r="M224" s="276">
        <v>1997</v>
      </c>
      <c r="N224" s="276"/>
      <c r="O224" s="276"/>
      <c r="P224" s="276"/>
      <c r="Q224" s="276"/>
      <c r="R224" s="277"/>
      <c r="S224" s="276"/>
      <c r="T224" s="276"/>
      <c r="U224" s="276"/>
      <c r="V224" s="276"/>
      <c r="W224" s="276"/>
      <c r="X224" s="276"/>
      <c r="Y224" s="276"/>
      <c r="Z224" s="276"/>
      <c r="AA224" s="276"/>
      <c r="AB224" s="276"/>
      <c r="AC224" s="276"/>
      <c r="AD224" s="276"/>
      <c r="AE224" s="276"/>
      <c r="AF224" s="276"/>
      <c r="AG224" s="276"/>
      <c r="AH224" s="276"/>
      <c r="AI224" s="276"/>
      <c r="AJ224" s="276"/>
      <c r="AK224" s="276"/>
      <c r="AL224" s="276"/>
      <c r="AM224" s="276"/>
      <c r="AN224" s="276"/>
      <c r="AO224" s="276"/>
      <c r="AP224" s="276"/>
      <c r="AQ224" s="276"/>
      <c r="AR224" s="276"/>
      <c r="AS224" s="276"/>
      <c r="AT224" s="276"/>
      <c r="AU224" s="276"/>
      <c r="AV224" s="276"/>
      <c r="AW224" s="236"/>
    </row>
    <row r="225" spans="1:49" ht="15" customHeight="1">
      <c r="A225" s="236" t="s">
        <v>169</v>
      </c>
      <c r="B225" s="236">
        <v>4494</v>
      </c>
      <c r="C225" s="236" t="s">
        <v>1070</v>
      </c>
      <c r="D225" s="236"/>
      <c r="E225" s="236" t="s">
        <v>1071</v>
      </c>
      <c r="F225" s="276" t="s">
        <v>54</v>
      </c>
      <c r="G225" s="276" t="s">
        <v>173</v>
      </c>
      <c r="H225" s="236" t="s">
        <v>270</v>
      </c>
      <c r="I225" s="199" t="s">
        <v>1072</v>
      </c>
      <c r="J225" s="236" t="s">
        <v>897</v>
      </c>
      <c r="K225" s="236">
        <v>67.33</v>
      </c>
      <c r="L225" s="277" t="s">
        <v>190</v>
      </c>
      <c r="M225" s="197">
        <v>2021</v>
      </c>
      <c r="N225" s="197">
        <v>2021</v>
      </c>
      <c r="O225" s="236" t="s">
        <v>193</v>
      </c>
      <c r="P225" s="236" t="s">
        <v>199</v>
      </c>
      <c r="Q225" s="236" t="s">
        <v>199</v>
      </c>
      <c r="R225" s="238" t="s">
        <v>181</v>
      </c>
      <c r="S225" s="236">
        <v>1</v>
      </c>
      <c r="T225" s="236">
        <v>67</v>
      </c>
      <c r="U225" s="236">
        <v>67</v>
      </c>
      <c r="V225" s="236"/>
      <c r="W225" s="236">
        <v>0</v>
      </c>
      <c r="X225" s="236">
        <v>0</v>
      </c>
      <c r="Y225" s="236">
        <v>0</v>
      </c>
      <c r="Z225" s="236">
        <v>67</v>
      </c>
      <c r="AA225" s="236">
        <v>0</v>
      </c>
      <c r="AB225" s="236">
        <v>0</v>
      </c>
      <c r="AC225" s="236">
        <v>0</v>
      </c>
      <c r="AD225" s="236" t="s">
        <v>145</v>
      </c>
      <c r="AE225" s="236">
        <v>0</v>
      </c>
      <c r="AF225" s="236" t="s">
        <v>208</v>
      </c>
      <c r="AG225" s="236">
        <v>0</v>
      </c>
      <c r="AH225" s="236">
        <v>1</v>
      </c>
      <c r="AI225" s="236"/>
      <c r="AJ225" s="236">
        <v>0</v>
      </c>
      <c r="AK225" s="236">
        <v>0</v>
      </c>
      <c r="AL225" s="236">
        <v>0</v>
      </c>
      <c r="AM225" s="236"/>
      <c r="AN225" s="236"/>
      <c r="AO225" s="236"/>
      <c r="AP225" s="236"/>
      <c r="AQ225" s="236">
        <v>555759079</v>
      </c>
      <c r="AR225" s="236" t="s">
        <v>193</v>
      </c>
      <c r="AS225" s="236" t="s">
        <v>193</v>
      </c>
      <c r="AT225" s="236" t="s">
        <v>180</v>
      </c>
      <c r="AU225" s="199"/>
      <c r="AV225" s="236"/>
      <c r="AW225" s="236"/>
    </row>
    <row r="226" spans="1:49" ht="31.5" customHeight="1">
      <c r="A226" s="236" t="s">
        <v>169</v>
      </c>
      <c r="B226" s="236">
        <v>4532</v>
      </c>
      <c r="C226" s="236" t="s">
        <v>1073</v>
      </c>
      <c r="D226" s="236"/>
      <c r="E226" s="236" t="s">
        <v>1074</v>
      </c>
      <c r="F226" s="276" t="s">
        <v>54</v>
      </c>
      <c r="G226" s="276" t="s">
        <v>173</v>
      </c>
      <c r="H226" s="236" t="s">
        <v>270</v>
      </c>
      <c r="I226" s="199" t="s">
        <v>1075</v>
      </c>
      <c r="J226" s="236" t="s">
        <v>1076</v>
      </c>
      <c r="K226" s="236">
        <v>10.64</v>
      </c>
      <c r="L226" s="277" t="s">
        <v>190</v>
      </c>
      <c r="M226" s="197">
        <v>2021</v>
      </c>
      <c r="N226" s="197">
        <v>2021</v>
      </c>
      <c r="O226" s="236" t="s">
        <v>193</v>
      </c>
      <c r="P226" s="236" t="s">
        <v>199</v>
      </c>
      <c r="Q226" s="236" t="s">
        <v>199</v>
      </c>
      <c r="R226" s="238" t="s">
        <v>181</v>
      </c>
      <c r="S226" s="236">
        <v>1</v>
      </c>
      <c r="T226" s="236">
        <v>11</v>
      </c>
      <c r="U226" s="236">
        <v>11</v>
      </c>
      <c r="V226" s="236"/>
      <c r="W226" s="236">
        <v>0</v>
      </c>
      <c r="X226" s="236">
        <v>0</v>
      </c>
      <c r="Y226" s="236">
        <v>0</v>
      </c>
      <c r="Z226" s="236">
        <v>11</v>
      </c>
      <c r="AA226" s="236">
        <v>0</v>
      </c>
      <c r="AB226" s="236">
        <v>0</v>
      </c>
      <c r="AC226" s="236">
        <v>0</v>
      </c>
      <c r="AD226" s="236" t="s">
        <v>145</v>
      </c>
      <c r="AE226" s="236">
        <v>0</v>
      </c>
      <c r="AF226" s="236" t="s">
        <v>208</v>
      </c>
      <c r="AG226" s="236">
        <v>0</v>
      </c>
      <c r="AH226" s="236">
        <v>1</v>
      </c>
      <c r="AI226" s="236"/>
      <c r="AJ226" s="236">
        <v>0</v>
      </c>
      <c r="AK226" s="236">
        <v>0</v>
      </c>
      <c r="AL226" s="236">
        <v>0</v>
      </c>
      <c r="AM226" s="236"/>
      <c r="AN226" s="236"/>
      <c r="AO226" s="236"/>
      <c r="AP226" s="236"/>
      <c r="AQ226" s="236">
        <v>555759091</v>
      </c>
      <c r="AR226" s="236" t="s">
        <v>193</v>
      </c>
      <c r="AS226" s="236" t="s">
        <v>193</v>
      </c>
      <c r="AT226" s="236"/>
      <c r="AU226" s="199"/>
      <c r="AV226" s="236"/>
      <c r="AW226" s="236"/>
    </row>
    <row r="227" spans="1:49" s="240" customFormat="1" ht="33" customHeight="1">
      <c r="A227" s="276" t="s">
        <v>169</v>
      </c>
      <c r="B227" s="236">
        <v>4344</v>
      </c>
      <c r="C227" s="236" t="s">
        <v>1077</v>
      </c>
      <c r="D227" s="276"/>
      <c r="E227" s="276" t="s">
        <v>1078</v>
      </c>
      <c r="F227" s="276" t="s">
        <v>54</v>
      </c>
      <c r="G227" s="197" t="s">
        <v>220</v>
      </c>
      <c r="H227" s="236" t="s">
        <v>270</v>
      </c>
      <c r="I227" s="197" t="s">
        <v>1079</v>
      </c>
      <c r="J227" s="236" t="s">
        <v>1080</v>
      </c>
      <c r="K227" s="276">
        <v>18</v>
      </c>
      <c r="L227" s="277" t="s">
        <v>190</v>
      </c>
      <c r="M227" s="276">
        <v>2021</v>
      </c>
      <c r="N227" s="236">
        <v>2021</v>
      </c>
      <c r="O227" s="236" t="s">
        <v>193</v>
      </c>
      <c r="P227" s="276" t="s">
        <v>319</v>
      </c>
      <c r="Q227" s="236" t="s">
        <v>199</v>
      </c>
      <c r="R227" s="277"/>
      <c r="S227" s="236">
        <v>1</v>
      </c>
      <c r="T227" s="236">
        <v>18</v>
      </c>
      <c r="U227" s="236">
        <v>18</v>
      </c>
      <c r="V227" s="236"/>
      <c r="W227" s="236">
        <v>0</v>
      </c>
      <c r="X227" s="236">
        <v>0</v>
      </c>
      <c r="Y227" s="236">
        <v>0</v>
      </c>
      <c r="Z227" s="236">
        <v>18</v>
      </c>
      <c r="AA227" s="236">
        <v>0</v>
      </c>
      <c r="AB227" s="236">
        <v>0</v>
      </c>
      <c r="AC227" s="236">
        <v>0</v>
      </c>
      <c r="AD227" s="236" t="s">
        <v>145</v>
      </c>
      <c r="AE227" s="236">
        <v>0</v>
      </c>
      <c r="AF227" s="236" t="s">
        <v>208</v>
      </c>
      <c r="AG227" s="236">
        <v>0</v>
      </c>
      <c r="AH227" s="236">
        <v>1</v>
      </c>
      <c r="AI227" s="236"/>
      <c r="AJ227" s="236">
        <v>0</v>
      </c>
      <c r="AK227" s="236">
        <v>0</v>
      </c>
      <c r="AL227" s="236">
        <v>0</v>
      </c>
      <c r="AM227" s="236"/>
      <c r="AN227" s="236"/>
      <c r="AO227" s="236"/>
      <c r="AP227" s="236"/>
      <c r="AQ227" s="236">
        <v>555759104</v>
      </c>
      <c r="AR227" s="276" t="s">
        <v>193</v>
      </c>
      <c r="AS227" s="276"/>
      <c r="AT227" s="276" t="s">
        <v>180</v>
      </c>
      <c r="AU227" s="250" t="s">
        <v>792</v>
      </c>
      <c r="AV227" s="276"/>
      <c r="AW227" s="236"/>
    </row>
    <row r="228" spans="1:49" s="240" customFormat="1" ht="31.5" customHeight="1">
      <c r="A228" s="276" t="s">
        <v>235</v>
      </c>
      <c r="B228" s="276"/>
      <c r="C228" s="276"/>
      <c r="D228" s="276"/>
      <c r="E228" s="276" t="s">
        <v>1081</v>
      </c>
      <c r="F228" s="276" t="s">
        <v>172</v>
      </c>
      <c r="G228" s="276" t="s">
        <v>116</v>
      </c>
      <c r="H228" s="236" t="s">
        <v>270</v>
      </c>
      <c r="I228" s="276" t="s">
        <v>1082</v>
      </c>
      <c r="J228" s="276" t="s">
        <v>1043</v>
      </c>
      <c r="K228" s="276">
        <v>20.8</v>
      </c>
      <c r="L228" s="277" t="s">
        <v>190</v>
      </c>
      <c r="M228" s="276">
        <v>1996</v>
      </c>
      <c r="N228" s="276"/>
      <c r="O228" s="276"/>
      <c r="P228" s="276"/>
      <c r="Q228" s="276"/>
      <c r="R228" s="277"/>
      <c r="S228" s="276"/>
      <c r="T228" s="276"/>
      <c r="U228" s="276"/>
      <c r="V228" s="276"/>
      <c r="W228" s="276">
        <v>0</v>
      </c>
      <c r="X228" s="276">
        <v>0</v>
      </c>
      <c r="Y228" s="276">
        <v>0</v>
      </c>
      <c r="Z228" s="276"/>
      <c r="AA228" s="276">
        <v>0</v>
      </c>
      <c r="AB228" s="276">
        <v>0</v>
      </c>
      <c r="AC228" s="276"/>
      <c r="AD228" s="276"/>
      <c r="AE228" s="276"/>
      <c r="AF228" s="276"/>
      <c r="AG228" s="276"/>
      <c r="AH228" s="276"/>
      <c r="AI228" s="276"/>
      <c r="AJ228" s="276"/>
      <c r="AK228" s="276"/>
      <c r="AL228" s="276"/>
      <c r="AM228" s="276"/>
      <c r="AN228" s="276"/>
      <c r="AO228" s="276"/>
      <c r="AP228" s="276"/>
      <c r="AQ228" s="276"/>
      <c r="AR228" s="276"/>
      <c r="AS228" s="276"/>
      <c r="AT228" s="276"/>
      <c r="AU228" s="276"/>
      <c r="AV228" s="276"/>
      <c r="AW228" s="236"/>
    </row>
    <row r="229" spans="1:49" s="240" customFormat="1" ht="30.75" customHeight="1">
      <c r="A229" s="236" t="s">
        <v>235</v>
      </c>
      <c r="B229" s="236"/>
      <c r="C229" s="236"/>
      <c r="D229" s="236"/>
      <c r="E229" s="199" t="s">
        <v>1083</v>
      </c>
      <c r="F229" s="276" t="s">
        <v>54</v>
      </c>
      <c r="G229" s="276" t="s">
        <v>173</v>
      </c>
      <c r="H229" s="236" t="s">
        <v>270</v>
      </c>
      <c r="I229" s="199" t="s">
        <v>1084</v>
      </c>
      <c r="J229" s="236" t="s">
        <v>1085</v>
      </c>
      <c r="K229" s="236">
        <v>8.74</v>
      </c>
      <c r="L229" s="277" t="s">
        <v>190</v>
      </c>
      <c r="M229" s="197">
        <v>2023</v>
      </c>
      <c r="N229" s="197"/>
      <c r="O229" s="197"/>
      <c r="P229" s="276"/>
      <c r="Q229" s="276"/>
      <c r="R229" s="277"/>
      <c r="S229" s="276"/>
      <c r="T229" s="276"/>
      <c r="U229" s="276"/>
      <c r="V229" s="276"/>
      <c r="W229" s="276"/>
      <c r="X229" s="276"/>
      <c r="Y229" s="276"/>
      <c r="Z229" s="236"/>
      <c r="AA229" s="236"/>
      <c r="AB229" s="236"/>
      <c r="AC229" s="236"/>
      <c r="AD229" s="236"/>
      <c r="AE229" s="236"/>
      <c r="AF229" s="236"/>
      <c r="AG229" s="236"/>
      <c r="AH229" s="236"/>
      <c r="AI229" s="236"/>
      <c r="AJ229" s="236"/>
      <c r="AK229" s="236"/>
      <c r="AL229" s="236"/>
      <c r="AM229" s="236"/>
      <c r="AN229" s="236"/>
      <c r="AO229" s="236"/>
      <c r="AP229" s="236"/>
      <c r="AQ229" s="236"/>
      <c r="AR229" s="236"/>
      <c r="AS229" s="236" t="s">
        <v>193</v>
      </c>
      <c r="AT229" s="236"/>
      <c r="AU229" s="199"/>
      <c r="AV229" s="236"/>
      <c r="AW229" s="236"/>
    </row>
    <row r="230" spans="1:49" s="240" customFormat="1" ht="34.5" customHeight="1">
      <c r="A230" s="276" t="s">
        <v>235</v>
      </c>
      <c r="B230" s="276"/>
      <c r="C230" s="276"/>
      <c r="D230" s="276"/>
      <c r="E230" s="276" t="s">
        <v>1086</v>
      </c>
      <c r="F230" s="276" t="s">
        <v>172</v>
      </c>
      <c r="G230" s="276" t="s">
        <v>116</v>
      </c>
      <c r="H230" s="236" t="s">
        <v>270</v>
      </c>
      <c r="I230" s="276" t="s">
        <v>1087</v>
      </c>
      <c r="J230" s="276" t="s">
        <v>1088</v>
      </c>
      <c r="K230" s="276">
        <v>16.100000000000001</v>
      </c>
      <c r="L230" s="277" t="s">
        <v>190</v>
      </c>
      <c r="M230" s="276">
        <v>2020</v>
      </c>
      <c r="N230" s="276"/>
      <c r="O230" s="276"/>
      <c r="P230" s="276"/>
      <c r="Q230" s="276"/>
      <c r="R230" s="277"/>
      <c r="S230" s="276"/>
      <c r="T230" s="276"/>
      <c r="U230" s="276"/>
      <c r="V230" s="276"/>
      <c r="W230" s="276">
        <v>0</v>
      </c>
      <c r="X230" s="276">
        <v>0</v>
      </c>
      <c r="Y230" s="276">
        <v>0</v>
      </c>
      <c r="Z230" s="276"/>
      <c r="AA230" s="276">
        <v>0</v>
      </c>
      <c r="AB230" s="276">
        <v>0</v>
      </c>
      <c r="AC230" s="276"/>
      <c r="AD230" s="276"/>
      <c r="AE230" s="276"/>
      <c r="AF230" s="276"/>
      <c r="AG230" s="276"/>
      <c r="AH230" s="276"/>
      <c r="AI230" s="276"/>
      <c r="AJ230" s="276"/>
      <c r="AK230" s="276"/>
      <c r="AL230" s="276"/>
      <c r="AM230" s="276"/>
      <c r="AN230" s="276"/>
      <c r="AO230" s="276"/>
      <c r="AP230" s="276"/>
      <c r="AQ230" s="276"/>
      <c r="AR230" s="276"/>
      <c r="AS230" s="276"/>
      <c r="AT230" s="276" t="s">
        <v>180</v>
      </c>
      <c r="AU230" s="276"/>
      <c r="AV230" s="276"/>
      <c r="AW230" s="236"/>
    </row>
    <row r="231" spans="1:49" s="240" customFormat="1" ht="31.5" customHeight="1">
      <c r="A231" s="276" t="s">
        <v>169</v>
      </c>
      <c r="B231" s="236">
        <v>4318</v>
      </c>
      <c r="C231" s="236" t="s">
        <v>1089</v>
      </c>
      <c r="D231" s="276"/>
      <c r="E231" s="276" t="s">
        <v>1090</v>
      </c>
      <c r="F231" s="276" t="s">
        <v>764</v>
      </c>
      <c r="G231" s="276" t="s">
        <v>116</v>
      </c>
      <c r="H231" s="236" t="s">
        <v>270</v>
      </c>
      <c r="I231" s="276" t="s">
        <v>1091</v>
      </c>
      <c r="J231" s="236" t="s">
        <v>266</v>
      </c>
      <c r="K231" s="276">
        <v>111.47</v>
      </c>
      <c r="L231" s="277" t="s">
        <v>190</v>
      </c>
      <c r="M231" s="276">
        <v>2021</v>
      </c>
      <c r="N231" s="276">
        <v>2021</v>
      </c>
      <c r="O231" s="236" t="s">
        <v>193</v>
      </c>
      <c r="P231" s="236" t="s">
        <v>199</v>
      </c>
      <c r="Q231" s="236" t="s">
        <v>199</v>
      </c>
      <c r="R231" s="277" t="s">
        <v>320</v>
      </c>
      <c r="S231" s="236">
        <v>1</v>
      </c>
      <c r="T231" s="236">
        <v>111</v>
      </c>
      <c r="U231" s="236">
        <v>111</v>
      </c>
      <c r="V231" s="236"/>
      <c r="W231" s="236">
        <v>0</v>
      </c>
      <c r="X231" s="236">
        <v>0</v>
      </c>
      <c r="Y231" s="236">
        <v>0</v>
      </c>
      <c r="Z231" s="236">
        <v>111</v>
      </c>
      <c r="AA231" s="236">
        <v>0</v>
      </c>
      <c r="AB231" s="236">
        <v>0</v>
      </c>
      <c r="AC231" s="236">
        <v>0</v>
      </c>
      <c r="AD231" s="236" t="s">
        <v>145</v>
      </c>
      <c r="AE231" s="236">
        <v>0</v>
      </c>
      <c r="AF231" s="236" t="s">
        <v>182</v>
      </c>
      <c r="AG231" s="236">
        <v>1</v>
      </c>
      <c r="AH231" s="236">
        <v>0</v>
      </c>
      <c r="AI231" s="236"/>
      <c r="AJ231" s="236">
        <v>0</v>
      </c>
      <c r="AK231" s="236">
        <v>1</v>
      </c>
      <c r="AL231" s="236">
        <v>1</v>
      </c>
      <c r="AM231" s="236"/>
      <c r="AN231" s="236"/>
      <c r="AO231" s="236"/>
      <c r="AP231" s="236"/>
      <c r="AQ231" s="236">
        <v>555759045</v>
      </c>
      <c r="AR231" s="276"/>
      <c r="AS231" s="276"/>
      <c r="AT231" s="276" t="s">
        <v>180</v>
      </c>
      <c r="AU231" s="250" t="s">
        <v>1092</v>
      </c>
      <c r="AV231" s="276"/>
      <c r="AW231" s="236"/>
    </row>
    <row r="232" spans="1:49" s="240" customFormat="1" ht="28.5" customHeight="1">
      <c r="A232" s="276" t="s">
        <v>169</v>
      </c>
      <c r="B232" s="236">
        <v>4316</v>
      </c>
      <c r="C232" s="236" t="s">
        <v>1093</v>
      </c>
      <c r="D232" s="276"/>
      <c r="E232" s="276" t="s">
        <v>1094</v>
      </c>
      <c r="F232" s="276" t="s">
        <v>764</v>
      </c>
      <c r="G232" s="276" t="s">
        <v>116</v>
      </c>
      <c r="H232" s="236" t="s">
        <v>270</v>
      </c>
      <c r="I232" s="276"/>
      <c r="J232" s="236" t="s">
        <v>266</v>
      </c>
      <c r="K232" s="276">
        <v>5972</v>
      </c>
      <c r="L232" s="277" t="s">
        <v>190</v>
      </c>
      <c r="M232" s="276">
        <v>2021</v>
      </c>
      <c r="N232" s="276">
        <v>2021</v>
      </c>
      <c r="O232" s="236" t="s">
        <v>193</v>
      </c>
      <c r="P232" s="236" t="s">
        <v>199</v>
      </c>
      <c r="Q232" s="236" t="s">
        <v>199</v>
      </c>
      <c r="R232" s="277" t="s">
        <v>320</v>
      </c>
      <c r="S232" s="236">
        <v>1</v>
      </c>
      <c r="T232" s="237">
        <v>5968</v>
      </c>
      <c r="U232" s="237">
        <v>5963</v>
      </c>
      <c r="V232" s="236"/>
      <c r="W232" s="236">
        <v>0</v>
      </c>
      <c r="X232" s="236">
        <v>0</v>
      </c>
      <c r="Y232" s="236">
        <v>0</v>
      </c>
      <c r="Z232" s="237">
        <v>5963</v>
      </c>
      <c r="AA232" s="236">
        <v>0</v>
      </c>
      <c r="AB232" s="236">
        <v>0</v>
      </c>
      <c r="AC232" s="236">
        <v>5</v>
      </c>
      <c r="AD232" s="236" t="s">
        <v>145</v>
      </c>
      <c r="AE232" s="236">
        <v>8.2683300000000002E-4</v>
      </c>
      <c r="AF232" s="236" t="s">
        <v>182</v>
      </c>
      <c r="AG232" s="236">
        <v>1</v>
      </c>
      <c r="AH232" s="236">
        <v>0</v>
      </c>
      <c r="AI232" s="236"/>
      <c r="AJ232" s="236">
        <v>1</v>
      </c>
      <c r="AK232" s="236">
        <v>1</v>
      </c>
      <c r="AL232" s="236">
        <v>1</v>
      </c>
      <c r="AM232" s="236"/>
      <c r="AN232" s="236"/>
      <c r="AO232" s="236"/>
      <c r="AP232" s="236"/>
      <c r="AQ232" s="236">
        <v>555759046</v>
      </c>
      <c r="AR232" s="276"/>
      <c r="AS232" s="276"/>
      <c r="AT232" s="276" t="s">
        <v>180</v>
      </c>
      <c r="AU232" s="250" t="s">
        <v>1095</v>
      </c>
      <c r="AV232" s="276"/>
      <c r="AW232" s="236"/>
    </row>
    <row r="233" spans="1:49" s="240" customFormat="1" ht="15" customHeight="1">
      <c r="A233" s="276" t="s">
        <v>235</v>
      </c>
      <c r="B233" s="276"/>
      <c r="C233" s="276"/>
      <c r="D233" s="276"/>
      <c r="E233" s="197" t="s">
        <v>1096</v>
      </c>
      <c r="F233" s="276" t="s">
        <v>54</v>
      </c>
      <c r="G233" s="276" t="s">
        <v>116</v>
      </c>
      <c r="H233" s="236" t="s">
        <v>270</v>
      </c>
      <c r="I233" s="276" t="s">
        <v>1097</v>
      </c>
      <c r="J233" s="276" t="s">
        <v>548</v>
      </c>
      <c r="K233" s="276">
        <v>6.51</v>
      </c>
      <c r="L233" s="277" t="s">
        <v>190</v>
      </c>
      <c r="M233" s="276">
        <v>2021</v>
      </c>
      <c r="N233" s="276"/>
      <c r="O233" s="276"/>
      <c r="P233" s="276"/>
      <c r="Q233" s="276"/>
      <c r="R233" s="277"/>
      <c r="S233" s="276"/>
      <c r="T233" s="276"/>
      <c r="U233" s="276"/>
      <c r="V233" s="276"/>
      <c r="W233" s="276"/>
      <c r="X233" s="276"/>
      <c r="Y233" s="276"/>
      <c r="Z233" s="276"/>
      <c r="AA233" s="276"/>
      <c r="AB233" s="276"/>
      <c r="AC233" s="276"/>
      <c r="AD233" s="276"/>
      <c r="AE233" s="276"/>
      <c r="AF233" s="276"/>
      <c r="AG233" s="276"/>
      <c r="AH233" s="276"/>
      <c r="AI233" s="276"/>
      <c r="AJ233" s="276"/>
      <c r="AK233" s="276"/>
      <c r="AL233" s="276"/>
      <c r="AM233" s="276"/>
      <c r="AN233" s="276"/>
      <c r="AO233" s="276"/>
      <c r="AP233" s="276"/>
      <c r="AQ233" s="276"/>
      <c r="AR233" s="276"/>
      <c r="AS233" s="276"/>
      <c r="AT233" s="276"/>
      <c r="AU233" s="276"/>
      <c r="AV233" s="276"/>
      <c r="AW233" s="236"/>
    </row>
    <row r="234" spans="1:49" s="240" customFormat="1" ht="15" customHeight="1">
      <c r="A234" s="276" t="s">
        <v>169</v>
      </c>
      <c r="B234" s="198">
        <v>4583</v>
      </c>
      <c r="C234" s="213">
        <v>8450424583</v>
      </c>
      <c r="D234" s="276"/>
      <c r="E234" s="276" t="s">
        <v>1098</v>
      </c>
      <c r="F234" s="277" t="s">
        <v>257</v>
      </c>
      <c r="G234" s="276" t="s">
        <v>116</v>
      </c>
      <c r="H234" s="236" t="s">
        <v>270</v>
      </c>
      <c r="I234" s="276" t="s">
        <v>1099</v>
      </c>
      <c r="J234" s="198" t="s">
        <v>334</v>
      </c>
      <c r="K234" s="198">
        <v>1246</v>
      </c>
      <c r="L234" s="277" t="s">
        <v>190</v>
      </c>
      <c r="M234" s="276">
        <v>2022</v>
      </c>
      <c r="N234" s="198">
        <v>2022</v>
      </c>
      <c r="O234" s="198" t="s">
        <v>193</v>
      </c>
      <c r="P234" s="198" t="s">
        <v>199</v>
      </c>
      <c r="Q234" s="198" t="s">
        <v>199</v>
      </c>
      <c r="R234" s="198" t="s">
        <v>796</v>
      </c>
      <c r="S234" s="198">
        <v>1</v>
      </c>
      <c r="T234" s="213">
        <v>1245</v>
      </c>
      <c r="U234" s="213">
        <v>1245</v>
      </c>
      <c r="V234" s="198"/>
      <c r="W234" s="198">
        <v>0</v>
      </c>
      <c r="X234" s="198">
        <v>0</v>
      </c>
      <c r="Y234" s="198">
        <v>0</v>
      </c>
      <c r="Z234" s="213">
        <v>1245</v>
      </c>
      <c r="AA234" s="198">
        <v>0</v>
      </c>
      <c r="AB234" s="198">
        <v>0</v>
      </c>
      <c r="AC234" s="198">
        <v>0</v>
      </c>
      <c r="AD234" s="198" t="s">
        <v>145</v>
      </c>
      <c r="AE234" s="198">
        <v>0</v>
      </c>
      <c r="AF234" s="198" t="s">
        <v>208</v>
      </c>
      <c r="AG234" s="198">
        <v>0</v>
      </c>
      <c r="AH234" s="198">
        <v>1</v>
      </c>
      <c r="AI234" s="198"/>
      <c r="AJ234" s="198">
        <v>0</v>
      </c>
      <c r="AK234" s="198">
        <v>1</v>
      </c>
      <c r="AL234" s="198">
        <v>1</v>
      </c>
      <c r="AM234" s="198"/>
      <c r="AN234" s="198"/>
      <c r="AO234" s="198"/>
      <c r="AP234" s="198"/>
      <c r="AQ234" s="198">
        <v>555758915</v>
      </c>
      <c r="AR234" s="276"/>
      <c r="AS234" s="276"/>
      <c r="AT234" s="276"/>
      <c r="AU234" s="250" t="s">
        <v>1100</v>
      </c>
      <c r="AV234" s="276"/>
      <c r="AW234" s="236"/>
    </row>
    <row r="235" spans="1:49" s="240" customFormat="1" ht="15" customHeight="1">
      <c r="A235" s="276" t="s">
        <v>235</v>
      </c>
      <c r="B235" s="276"/>
      <c r="C235" s="276"/>
      <c r="D235" s="276"/>
      <c r="E235" s="197" t="s">
        <v>1101</v>
      </c>
      <c r="F235" s="276" t="s">
        <v>54</v>
      </c>
      <c r="G235" s="276" t="s">
        <v>116</v>
      </c>
      <c r="H235" s="236" t="s">
        <v>270</v>
      </c>
      <c r="I235" s="276" t="s">
        <v>1102</v>
      </c>
      <c r="J235" s="276" t="s">
        <v>548</v>
      </c>
      <c r="K235" s="276">
        <v>1.21</v>
      </c>
      <c r="L235" s="277" t="s">
        <v>190</v>
      </c>
      <c r="M235" s="276">
        <v>2021</v>
      </c>
      <c r="N235" s="276"/>
      <c r="O235" s="276"/>
      <c r="P235" s="276"/>
      <c r="Q235" s="276"/>
      <c r="R235" s="277"/>
      <c r="S235" s="276"/>
      <c r="T235" s="276"/>
      <c r="U235" s="276"/>
      <c r="V235" s="276"/>
      <c r="W235" s="276"/>
      <c r="X235" s="276"/>
      <c r="Y235" s="276"/>
      <c r="Z235" s="276"/>
      <c r="AA235" s="276"/>
      <c r="AB235" s="276"/>
      <c r="AC235" s="276"/>
      <c r="AD235" s="276"/>
      <c r="AE235" s="276"/>
      <c r="AF235" s="276"/>
      <c r="AG235" s="276"/>
      <c r="AH235" s="276"/>
      <c r="AI235" s="276"/>
      <c r="AJ235" s="276"/>
      <c r="AK235" s="276"/>
      <c r="AL235" s="276"/>
      <c r="AM235" s="276"/>
      <c r="AN235" s="276"/>
      <c r="AO235" s="276"/>
      <c r="AP235" s="276"/>
      <c r="AQ235" s="276"/>
      <c r="AR235" s="276"/>
      <c r="AS235" s="276"/>
      <c r="AT235" s="276"/>
      <c r="AU235" s="276"/>
      <c r="AV235" s="276"/>
      <c r="AW235" s="236"/>
    </row>
    <row r="236" spans="1:49" ht="15" customHeight="1">
      <c r="A236" s="236" t="s">
        <v>169</v>
      </c>
      <c r="B236" s="236">
        <v>4548</v>
      </c>
      <c r="C236" s="236" t="s">
        <v>1103</v>
      </c>
      <c r="D236" s="236"/>
      <c r="E236" s="236" t="s">
        <v>1104</v>
      </c>
      <c r="F236" s="276" t="s">
        <v>54</v>
      </c>
      <c r="G236" s="276" t="s">
        <v>173</v>
      </c>
      <c r="H236" s="236" t="s">
        <v>270</v>
      </c>
      <c r="I236" s="199" t="s">
        <v>1105</v>
      </c>
      <c r="J236" s="236" t="s">
        <v>427</v>
      </c>
      <c r="K236" s="236">
        <v>9.0500000000000007</v>
      </c>
      <c r="L236" s="277" t="s">
        <v>190</v>
      </c>
      <c r="M236" s="197">
        <v>2022</v>
      </c>
      <c r="N236" s="197">
        <v>2022</v>
      </c>
      <c r="O236" s="236" t="s">
        <v>193</v>
      </c>
      <c r="P236" s="236" t="s">
        <v>199</v>
      </c>
      <c r="Q236" s="236" t="s">
        <v>199</v>
      </c>
      <c r="R236" s="238" t="s">
        <v>181</v>
      </c>
      <c r="S236" s="236">
        <v>1</v>
      </c>
      <c r="T236" s="236">
        <v>9</v>
      </c>
      <c r="U236" s="236">
        <v>9</v>
      </c>
      <c r="V236" s="236"/>
      <c r="W236" s="236">
        <v>0</v>
      </c>
      <c r="X236" s="236">
        <v>0</v>
      </c>
      <c r="Y236" s="236">
        <v>0</v>
      </c>
      <c r="Z236" s="236">
        <v>9</v>
      </c>
      <c r="AA236" s="236">
        <v>0</v>
      </c>
      <c r="AB236" s="236">
        <v>0</v>
      </c>
      <c r="AC236" s="236">
        <v>0</v>
      </c>
      <c r="AD236" s="236" t="s">
        <v>145</v>
      </c>
      <c r="AE236" s="236">
        <v>0</v>
      </c>
      <c r="AF236" s="236" t="s">
        <v>208</v>
      </c>
      <c r="AG236" s="236">
        <v>0</v>
      </c>
      <c r="AH236" s="236">
        <v>1</v>
      </c>
      <c r="AI236" s="236"/>
      <c r="AJ236" s="236">
        <v>0</v>
      </c>
      <c r="AK236" s="236">
        <v>0</v>
      </c>
      <c r="AL236" s="236">
        <v>0</v>
      </c>
      <c r="AM236" s="236"/>
      <c r="AN236" s="236"/>
      <c r="AO236" s="236"/>
      <c r="AP236" s="236"/>
      <c r="AQ236" s="236">
        <v>555759117</v>
      </c>
      <c r="AR236" s="236" t="s">
        <v>193</v>
      </c>
      <c r="AS236" s="236" t="s">
        <v>193</v>
      </c>
      <c r="AT236" s="236" t="s">
        <v>180</v>
      </c>
      <c r="AU236" s="199"/>
      <c r="AV236" s="236"/>
      <c r="AW236" s="236"/>
    </row>
    <row r="237" spans="1:49" s="240" customFormat="1" ht="15" customHeight="1">
      <c r="A237" s="276" t="s">
        <v>169</v>
      </c>
      <c r="B237" s="236">
        <v>4578</v>
      </c>
      <c r="C237" s="236" t="s">
        <v>1106</v>
      </c>
      <c r="D237" s="276"/>
      <c r="E237" s="276" t="s">
        <v>1107</v>
      </c>
      <c r="F237" s="276" t="s">
        <v>54</v>
      </c>
      <c r="G237" s="197" t="s">
        <v>220</v>
      </c>
      <c r="H237" s="236" t="s">
        <v>270</v>
      </c>
      <c r="I237" s="197" t="s">
        <v>1108</v>
      </c>
      <c r="J237" s="236" t="s">
        <v>286</v>
      </c>
      <c r="K237" s="276">
        <v>18.635999999999999</v>
      </c>
      <c r="L237" s="277" t="s">
        <v>190</v>
      </c>
      <c r="M237" s="276">
        <v>2022</v>
      </c>
      <c r="N237" s="236">
        <v>2022</v>
      </c>
      <c r="O237" s="236" t="s">
        <v>193</v>
      </c>
      <c r="P237" s="276" t="s">
        <v>319</v>
      </c>
      <c r="Q237" s="236" t="s">
        <v>199</v>
      </c>
      <c r="R237" s="277"/>
      <c r="S237" s="236">
        <v>1</v>
      </c>
      <c r="T237" s="236">
        <v>15</v>
      </c>
      <c r="U237" s="236">
        <v>15</v>
      </c>
      <c r="V237" s="236"/>
      <c r="W237" s="236">
        <v>0</v>
      </c>
      <c r="X237" s="236">
        <v>0</v>
      </c>
      <c r="Y237" s="236">
        <v>0</v>
      </c>
      <c r="Z237" s="236">
        <v>15</v>
      </c>
      <c r="AA237" s="236">
        <v>0</v>
      </c>
      <c r="AB237" s="236">
        <v>0</v>
      </c>
      <c r="AC237" s="236">
        <v>0</v>
      </c>
      <c r="AD237" s="236" t="s">
        <v>145</v>
      </c>
      <c r="AE237" s="236">
        <v>0</v>
      </c>
      <c r="AF237" s="236" t="s">
        <v>208</v>
      </c>
      <c r="AG237" s="236">
        <v>0</v>
      </c>
      <c r="AH237" s="236">
        <v>1</v>
      </c>
      <c r="AI237" s="236"/>
      <c r="AJ237" s="236">
        <v>0</v>
      </c>
      <c r="AK237" s="236">
        <v>1</v>
      </c>
      <c r="AL237" s="236">
        <v>1</v>
      </c>
      <c r="AM237" s="236"/>
      <c r="AN237" s="236"/>
      <c r="AO237" s="236"/>
      <c r="AP237" s="236"/>
      <c r="AQ237" s="236">
        <v>555759103</v>
      </c>
      <c r="AR237" s="276" t="s">
        <v>620</v>
      </c>
      <c r="AS237" s="276"/>
      <c r="AT237" s="276" t="s">
        <v>180</v>
      </c>
      <c r="AU237" s="250" t="s">
        <v>792</v>
      </c>
      <c r="AV237" s="276"/>
      <c r="AW237" s="236"/>
    </row>
    <row r="238" spans="1:49" s="240" customFormat="1" ht="15" customHeight="1">
      <c r="A238" s="276" t="s">
        <v>169</v>
      </c>
      <c r="B238" s="236">
        <v>4358</v>
      </c>
      <c r="C238" s="236" t="s">
        <v>1109</v>
      </c>
      <c r="D238" s="276"/>
      <c r="E238" s="276" t="s">
        <v>1110</v>
      </c>
      <c r="F238" s="276" t="s">
        <v>54</v>
      </c>
      <c r="G238" s="197" t="s">
        <v>220</v>
      </c>
      <c r="H238" s="236" t="s">
        <v>270</v>
      </c>
      <c r="I238" s="197" t="s">
        <v>1111</v>
      </c>
      <c r="J238" s="236" t="s">
        <v>548</v>
      </c>
      <c r="K238" s="276">
        <v>5.0599999999999996</v>
      </c>
      <c r="L238" s="277" t="s">
        <v>190</v>
      </c>
      <c r="M238" s="276">
        <v>2022</v>
      </c>
      <c r="N238" s="236">
        <v>2022</v>
      </c>
      <c r="O238" s="236" t="s">
        <v>193</v>
      </c>
      <c r="P238" s="276" t="s">
        <v>319</v>
      </c>
      <c r="Q238" s="236" t="s">
        <v>199</v>
      </c>
      <c r="R238" s="277"/>
      <c r="S238" s="236">
        <v>1</v>
      </c>
      <c r="T238" s="236">
        <v>5</v>
      </c>
      <c r="U238" s="236">
        <v>5</v>
      </c>
      <c r="V238" s="236"/>
      <c r="W238" s="236">
        <v>0</v>
      </c>
      <c r="X238" s="236">
        <v>0</v>
      </c>
      <c r="Y238" s="236">
        <v>0</v>
      </c>
      <c r="Z238" s="236">
        <v>5</v>
      </c>
      <c r="AA238" s="236">
        <v>0</v>
      </c>
      <c r="AB238" s="236">
        <v>0</v>
      </c>
      <c r="AC238" s="236">
        <v>0</v>
      </c>
      <c r="AD238" s="236" t="s">
        <v>145</v>
      </c>
      <c r="AE238" s="236">
        <v>0</v>
      </c>
      <c r="AF238" s="236" t="s">
        <v>208</v>
      </c>
      <c r="AG238" s="236">
        <v>0</v>
      </c>
      <c r="AH238" s="236">
        <v>1</v>
      </c>
      <c r="AI238" s="236"/>
      <c r="AJ238" s="236">
        <v>0</v>
      </c>
      <c r="AK238" s="236">
        <v>1</v>
      </c>
      <c r="AL238" s="236">
        <v>1</v>
      </c>
      <c r="AM238" s="236"/>
      <c r="AN238" s="236"/>
      <c r="AO238" s="236"/>
      <c r="AP238" s="236"/>
      <c r="AQ238" s="236">
        <v>555759105</v>
      </c>
      <c r="AR238" s="276" t="s">
        <v>193</v>
      </c>
      <c r="AS238" s="276"/>
      <c r="AT238" s="276" t="s">
        <v>180</v>
      </c>
      <c r="AU238" s="250" t="s">
        <v>792</v>
      </c>
      <c r="AV238" s="276"/>
      <c r="AW238" s="236"/>
    </row>
    <row r="239" spans="1:49" s="240" customFormat="1" ht="15" customHeight="1">
      <c r="A239" s="276" t="s">
        <v>169</v>
      </c>
      <c r="B239" s="236">
        <v>4579</v>
      </c>
      <c r="C239" s="236" t="s">
        <v>1112</v>
      </c>
      <c r="D239" s="276"/>
      <c r="E239" s="276" t="s">
        <v>1113</v>
      </c>
      <c r="F239" s="276" t="s">
        <v>54</v>
      </c>
      <c r="G239" s="197" t="s">
        <v>220</v>
      </c>
      <c r="H239" s="236" t="s">
        <v>270</v>
      </c>
      <c r="I239" s="197" t="s">
        <v>1114</v>
      </c>
      <c r="J239" s="236" t="s">
        <v>790</v>
      </c>
      <c r="K239" s="276">
        <v>10.73</v>
      </c>
      <c r="L239" s="277" t="s">
        <v>190</v>
      </c>
      <c r="M239" s="276">
        <v>2022</v>
      </c>
      <c r="N239" s="236">
        <v>2022</v>
      </c>
      <c r="O239" s="236" t="s">
        <v>193</v>
      </c>
      <c r="P239" s="276" t="s">
        <v>319</v>
      </c>
      <c r="Q239" s="236" t="s">
        <v>199</v>
      </c>
      <c r="R239" s="277"/>
      <c r="S239" s="236">
        <v>1</v>
      </c>
      <c r="T239" s="236">
        <v>8</v>
      </c>
      <c r="U239" s="236">
        <v>8</v>
      </c>
      <c r="V239" s="236"/>
      <c r="W239" s="236">
        <v>0</v>
      </c>
      <c r="X239" s="236">
        <v>0</v>
      </c>
      <c r="Y239" s="236">
        <v>0</v>
      </c>
      <c r="Z239" s="236">
        <v>8</v>
      </c>
      <c r="AA239" s="236">
        <v>0</v>
      </c>
      <c r="AB239" s="236">
        <v>0</v>
      </c>
      <c r="AC239" s="236">
        <v>0</v>
      </c>
      <c r="AD239" s="236" t="s">
        <v>145</v>
      </c>
      <c r="AE239" s="236">
        <v>0</v>
      </c>
      <c r="AF239" s="236" t="s">
        <v>208</v>
      </c>
      <c r="AG239" s="236">
        <v>0</v>
      </c>
      <c r="AH239" s="236">
        <v>1</v>
      </c>
      <c r="AI239" s="236"/>
      <c r="AJ239" s="236">
        <v>0</v>
      </c>
      <c r="AK239" s="236">
        <v>0</v>
      </c>
      <c r="AL239" s="236">
        <v>0</v>
      </c>
      <c r="AM239" s="236"/>
      <c r="AN239" s="236"/>
      <c r="AO239" s="236"/>
      <c r="AP239" s="236"/>
      <c r="AQ239" s="236">
        <v>555759106</v>
      </c>
      <c r="AR239" s="276" t="s">
        <v>620</v>
      </c>
      <c r="AS239" s="276"/>
      <c r="AT239" s="276" t="s">
        <v>180</v>
      </c>
      <c r="AU239" s="250" t="s">
        <v>792</v>
      </c>
      <c r="AV239" s="276"/>
      <c r="AW239" s="236"/>
    </row>
    <row r="240" spans="1:49" s="240" customFormat="1" ht="15" customHeight="1">
      <c r="A240" s="276" t="s">
        <v>169</v>
      </c>
      <c r="B240" s="236">
        <v>4359</v>
      </c>
      <c r="C240" s="236" t="s">
        <v>1115</v>
      </c>
      <c r="D240" s="276"/>
      <c r="E240" s="276" t="s">
        <v>1116</v>
      </c>
      <c r="F240" s="276" t="s">
        <v>54</v>
      </c>
      <c r="G240" s="197" t="s">
        <v>220</v>
      </c>
      <c r="H240" s="236" t="s">
        <v>270</v>
      </c>
      <c r="I240" s="197" t="s">
        <v>1117</v>
      </c>
      <c r="J240" s="236" t="s">
        <v>1118</v>
      </c>
      <c r="K240" s="276">
        <v>2.09</v>
      </c>
      <c r="L240" s="277" t="s">
        <v>190</v>
      </c>
      <c r="M240" s="276">
        <v>2022</v>
      </c>
      <c r="N240" s="236">
        <v>2022</v>
      </c>
      <c r="O240" s="236" t="s">
        <v>193</v>
      </c>
      <c r="P240" s="276" t="s">
        <v>319</v>
      </c>
      <c r="Q240" s="236" t="s">
        <v>199</v>
      </c>
      <c r="R240" s="277"/>
      <c r="S240" s="236">
        <v>1</v>
      </c>
      <c r="T240" s="236">
        <v>2</v>
      </c>
      <c r="U240" s="236">
        <v>2</v>
      </c>
      <c r="V240" s="236"/>
      <c r="W240" s="236">
        <v>0</v>
      </c>
      <c r="X240" s="236">
        <v>0</v>
      </c>
      <c r="Y240" s="236">
        <v>0</v>
      </c>
      <c r="Z240" s="236">
        <v>2</v>
      </c>
      <c r="AA240" s="236">
        <v>0</v>
      </c>
      <c r="AB240" s="236">
        <v>0</v>
      </c>
      <c r="AC240" s="236">
        <v>0</v>
      </c>
      <c r="AD240" s="236" t="s">
        <v>145</v>
      </c>
      <c r="AE240" s="236">
        <v>0</v>
      </c>
      <c r="AF240" s="236" t="s">
        <v>208</v>
      </c>
      <c r="AG240" s="236">
        <v>0</v>
      </c>
      <c r="AH240" s="236">
        <v>1</v>
      </c>
      <c r="AI240" s="236"/>
      <c r="AJ240" s="236">
        <v>0</v>
      </c>
      <c r="AK240" s="236">
        <v>0</v>
      </c>
      <c r="AL240" s="236">
        <v>0</v>
      </c>
      <c r="AM240" s="236"/>
      <c r="AN240" s="236"/>
      <c r="AO240" s="236"/>
      <c r="AP240" s="236"/>
      <c r="AQ240" s="236">
        <v>555759108</v>
      </c>
      <c r="AR240" s="276" t="s">
        <v>193</v>
      </c>
      <c r="AS240" s="276"/>
      <c r="AT240" s="276" t="s">
        <v>180</v>
      </c>
      <c r="AU240" s="250" t="s">
        <v>792</v>
      </c>
      <c r="AV240" s="276"/>
      <c r="AW240" s="236"/>
    </row>
    <row r="241" spans="1:49" s="240" customFormat="1" ht="15" customHeight="1">
      <c r="A241" s="276" t="s">
        <v>169</v>
      </c>
      <c r="B241" s="236">
        <v>4361</v>
      </c>
      <c r="C241" s="236" t="s">
        <v>1119</v>
      </c>
      <c r="D241" s="276"/>
      <c r="E241" s="276" t="s">
        <v>1120</v>
      </c>
      <c r="F241" s="276" t="s">
        <v>54</v>
      </c>
      <c r="G241" s="197" t="s">
        <v>220</v>
      </c>
      <c r="H241" s="236" t="s">
        <v>270</v>
      </c>
      <c r="I241" s="197" t="s">
        <v>1121</v>
      </c>
      <c r="J241" s="236" t="s">
        <v>1122</v>
      </c>
      <c r="K241" s="276">
        <v>6.6125999999999996</v>
      </c>
      <c r="L241" s="277" t="s">
        <v>190</v>
      </c>
      <c r="M241" s="276">
        <v>2022</v>
      </c>
      <c r="N241" s="236">
        <v>2022</v>
      </c>
      <c r="O241" s="236" t="s">
        <v>193</v>
      </c>
      <c r="P241" s="276" t="s">
        <v>319</v>
      </c>
      <c r="Q241" s="236" t="s">
        <v>199</v>
      </c>
      <c r="R241" s="277"/>
      <c r="S241" s="236">
        <v>1</v>
      </c>
      <c r="T241" s="236">
        <v>8</v>
      </c>
      <c r="U241" s="236">
        <v>8</v>
      </c>
      <c r="V241" s="236"/>
      <c r="W241" s="236">
        <v>0</v>
      </c>
      <c r="X241" s="236">
        <v>0</v>
      </c>
      <c r="Y241" s="236">
        <v>0</v>
      </c>
      <c r="Z241" s="236">
        <v>8</v>
      </c>
      <c r="AA241" s="236">
        <v>0</v>
      </c>
      <c r="AB241" s="236">
        <v>0</v>
      </c>
      <c r="AC241" s="236">
        <v>0</v>
      </c>
      <c r="AD241" s="236" t="s">
        <v>145</v>
      </c>
      <c r="AE241" s="236">
        <v>0</v>
      </c>
      <c r="AF241" s="236" t="s">
        <v>208</v>
      </c>
      <c r="AG241" s="236">
        <v>0</v>
      </c>
      <c r="AH241" s="236">
        <v>1</v>
      </c>
      <c r="AI241" s="236"/>
      <c r="AJ241" s="236">
        <v>0</v>
      </c>
      <c r="AK241" s="236">
        <v>0</v>
      </c>
      <c r="AL241" s="236">
        <v>0</v>
      </c>
      <c r="AM241" s="236"/>
      <c r="AN241" s="236"/>
      <c r="AO241" s="236"/>
      <c r="AP241" s="236"/>
      <c r="AQ241" s="236">
        <v>555759109</v>
      </c>
      <c r="AR241" s="276" t="s">
        <v>193</v>
      </c>
      <c r="AS241" s="276"/>
      <c r="AT241" s="276" t="s">
        <v>180</v>
      </c>
      <c r="AU241" s="250" t="s">
        <v>792</v>
      </c>
      <c r="AV241" s="276"/>
      <c r="AW241" s="236"/>
    </row>
    <row r="242" spans="1:49" s="240" customFormat="1" ht="15" customHeight="1">
      <c r="A242" s="276" t="s">
        <v>169</v>
      </c>
      <c r="B242" s="236">
        <v>4360</v>
      </c>
      <c r="C242" s="236" t="s">
        <v>1123</v>
      </c>
      <c r="D242" s="276"/>
      <c r="E242" s="276" t="s">
        <v>1124</v>
      </c>
      <c r="F242" s="276" t="s">
        <v>54</v>
      </c>
      <c r="G242" s="197" t="s">
        <v>220</v>
      </c>
      <c r="H242" s="236" t="s">
        <v>270</v>
      </c>
      <c r="I242" s="197" t="s">
        <v>1125</v>
      </c>
      <c r="J242" s="236" t="s">
        <v>1122</v>
      </c>
      <c r="K242" s="276">
        <v>16.46</v>
      </c>
      <c r="L242" s="277" t="s">
        <v>190</v>
      </c>
      <c r="M242" s="276">
        <v>2022</v>
      </c>
      <c r="N242" s="236">
        <v>2022</v>
      </c>
      <c r="O242" s="236" t="s">
        <v>193</v>
      </c>
      <c r="P242" s="276" t="s">
        <v>319</v>
      </c>
      <c r="Q242" s="236" t="s">
        <v>199</v>
      </c>
      <c r="R242" s="277"/>
      <c r="S242" s="236">
        <v>1</v>
      </c>
      <c r="T242" s="236">
        <v>15</v>
      </c>
      <c r="U242" s="236">
        <v>15</v>
      </c>
      <c r="V242" s="236"/>
      <c r="W242" s="236">
        <v>0</v>
      </c>
      <c r="X242" s="236">
        <v>0</v>
      </c>
      <c r="Y242" s="236">
        <v>0</v>
      </c>
      <c r="Z242" s="236">
        <v>15</v>
      </c>
      <c r="AA242" s="236">
        <v>0</v>
      </c>
      <c r="AB242" s="236">
        <v>0</v>
      </c>
      <c r="AC242" s="236">
        <v>0</v>
      </c>
      <c r="AD242" s="236" t="s">
        <v>145</v>
      </c>
      <c r="AE242" s="236">
        <v>0</v>
      </c>
      <c r="AF242" s="236" t="s">
        <v>208</v>
      </c>
      <c r="AG242" s="236">
        <v>0</v>
      </c>
      <c r="AH242" s="236">
        <v>1</v>
      </c>
      <c r="AI242" s="236"/>
      <c r="AJ242" s="236">
        <v>0</v>
      </c>
      <c r="AK242" s="236">
        <v>0</v>
      </c>
      <c r="AL242" s="236">
        <v>0</v>
      </c>
      <c r="AM242" s="236"/>
      <c r="AN242" s="236"/>
      <c r="AO242" s="236"/>
      <c r="AP242" s="236"/>
      <c r="AQ242" s="236">
        <v>555759110</v>
      </c>
      <c r="AR242" s="276" t="s">
        <v>193</v>
      </c>
      <c r="AS242" s="276"/>
      <c r="AT242" s="276" t="s">
        <v>180</v>
      </c>
      <c r="AU242" s="250" t="s">
        <v>792</v>
      </c>
      <c r="AV242" s="276"/>
      <c r="AW242" s="236"/>
    </row>
    <row r="243" spans="1:49" s="240" customFormat="1" ht="15" customHeight="1">
      <c r="A243" s="276" t="s">
        <v>169</v>
      </c>
      <c r="B243" s="236">
        <v>3063</v>
      </c>
      <c r="C243" s="236" t="s">
        <v>1126</v>
      </c>
      <c r="D243" s="276"/>
      <c r="E243" s="276" t="s">
        <v>1127</v>
      </c>
      <c r="F243" s="276" t="s">
        <v>172</v>
      </c>
      <c r="G243" s="276" t="s">
        <v>116</v>
      </c>
      <c r="H243" s="236" t="s">
        <v>270</v>
      </c>
      <c r="I243" s="197" t="s">
        <v>1128</v>
      </c>
      <c r="J243" s="236" t="s">
        <v>266</v>
      </c>
      <c r="K243" s="197">
        <v>216.47</v>
      </c>
      <c r="L243" s="277" t="s">
        <v>190</v>
      </c>
      <c r="M243" s="197">
        <v>2022</v>
      </c>
      <c r="N243" s="197">
        <v>2022</v>
      </c>
      <c r="O243" s="236" t="s">
        <v>193</v>
      </c>
      <c r="P243" s="276" t="s">
        <v>319</v>
      </c>
      <c r="Q243" s="236" t="s">
        <v>199</v>
      </c>
      <c r="R243" s="277" t="s">
        <v>320</v>
      </c>
      <c r="S243" s="236">
        <v>1</v>
      </c>
      <c r="T243" s="236">
        <v>212</v>
      </c>
      <c r="U243" s="236">
        <v>210</v>
      </c>
      <c r="V243" s="236"/>
      <c r="W243" s="236">
        <v>0</v>
      </c>
      <c r="X243" s="236">
        <v>0</v>
      </c>
      <c r="Y243" s="236">
        <v>0</v>
      </c>
      <c r="Z243" s="236">
        <v>210</v>
      </c>
      <c r="AA243" s="236">
        <v>0</v>
      </c>
      <c r="AB243" s="236">
        <v>0</v>
      </c>
      <c r="AC243" s="236">
        <v>2</v>
      </c>
      <c r="AD243" s="236" t="s">
        <v>145</v>
      </c>
      <c r="AE243" s="236">
        <v>9.2536679999999996E-3</v>
      </c>
      <c r="AF243" s="236" t="s">
        <v>182</v>
      </c>
      <c r="AG243" s="236">
        <v>1</v>
      </c>
      <c r="AH243" s="236">
        <v>0</v>
      </c>
      <c r="AI243" s="236"/>
      <c r="AJ243" s="236">
        <v>1</v>
      </c>
      <c r="AK243" s="236">
        <v>1</v>
      </c>
      <c r="AL243" s="236">
        <v>1</v>
      </c>
      <c r="AM243" s="236"/>
      <c r="AN243" s="236"/>
      <c r="AO243" s="236"/>
      <c r="AP243" s="236"/>
      <c r="AQ243" s="236">
        <v>555759014</v>
      </c>
      <c r="AR243" s="276"/>
      <c r="AS243" s="276"/>
      <c r="AT243" s="276" t="s">
        <v>180</v>
      </c>
      <c r="AU243" s="250" t="s">
        <v>1129</v>
      </c>
      <c r="AV243" s="276"/>
      <c r="AW243" s="236"/>
    </row>
    <row r="244" spans="1:49" s="240" customFormat="1" ht="15" customHeight="1">
      <c r="A244" s="276" t="s">
        <v>235</v>
      </c>
      <c r="B244" s="276"/>
      <c r="C244" s="276"/>
      <c r="D244" s="276"/>
      <c r="E244" s="197" t="s">
        <v>1130</v>
      </c>
      <c r="F244" s="276" t="s">
        <v>54</v>
      </c>
      <c r="G244" s="276" t="s">
        <v>116</v>
      </c>
      <c r="H244" s="236" t="s">
        <v>270</v>
      </c>
      <c r="I244" s="276" t="s">
        <v>1131</v>
      </c>
      <c r="J244" s="276" t="s">
        <v>548</v>
      </c>
      <c r="K244" s="276">
        <v>2.87</v>
      </c>
      <c r="L244" s="277" t="s">
        <v>190</v>
      </c>
      <c r="M244" s="276">
        <v>2022</v>
      </c>
      <c r="N244" s="276"/>
      <c r="O244" s="276"/>
      <c r="P244" s="276"/>
      <c r="Q244" s="276"/>
      <c r="R244" s="277"/>
      <c r="S244" s="276"/>
      <c r="T244" s="276"/>
      <c r="U244" s="276"/>
      <c r="V244" s="276"/>
      <c r="W244" s="276"/>
      <c r="X244" s="276"/>
      <c r="Y244" s="276"/>
      <c r="Z244" s="276"/>
      <c r="AA244" s="276"/>
      <c r="AB244" s="276"/>
      <c r="AC244" s="276"/>
      <c r="AD244" s="276"/>
      <c r="AE244" s="276"/>
      <c r="AF244" s="276"/>
      <c r="AG244" s="276"/>
      <c r="AH244" s="276"/>
      <c r="AI244" s="276"/>
      <c r="AJ244" s="276"/>
      <c r="AK244" s="276"/>
      <c r="AL244" s="276"/>
      <c r="AM244" s="276"/>
      <c r="AN244" s="276"/>
      <c r="AO244" s="276"/>
      <c r="AP244" s="276"/>
      <c r="AQ244" s="276"/>
      <c r="AR244" s="276"/>
      <c r="AS244" s="276"/>
      <c r="AT244" s="276"/>
      <c r="AU244" s="276"/>
      <c r="AV244" s="276"/>
      <c r="AW244" s="236"/>
    </row>
    <row r="245" spans="1:49" s="240" customFormat="1" ht="15" customHeight="1">
      <c r="A245" s="276" t="s">
        <v>235</v>
      </c>
      <c r="B245" s="276"/>
      <c r="C245" s="276"/>
      <c r="D245" s="276"/>
      <c r="E245" s="197" t="s">
        <v>1132</v>
      </c>
      <c r="F245" s="276" t="s">
        <v>54</v>
      </c>
      <c r="G245" s="276" t="s">
        <v>116</v>
      </c>
      <c r="H245" s="236" t="s">
        <v>270</v>
      </c>
      <c r="I245" s="276" t="s">
        <v>1133</v>
      </c>
      <c r="J245" s="276" t="s">
        <v>548</v>
      </c>
      <c r="K245" s="276" t="s">
        <v>368</v>
      </c>
      <c r="L245" s="277" t="s">
        <v>190</v>
      </c>
      <c r="M245" s="276">
        <v>2022</v>
      </c>
      <c r="N245" s="276"/>
      <c r="O245" s="276"/>
      <c r="P245" s="276"/>
      <c r="Q245" s="276"/>
      <c r="R245" s="277"/>
      <c r="S245" s="276"/>
      <c r="T245" s="276"/>
      <c r="U245" s="276"/>
      <c r="V245" s="276"/>
      <c r="W245" s="276"/>
      <c r="X245" s="276"/>
      <c r="Y245" s="276"/>
      <c r="Z245" s="276"/>
      <c r="AA245" s="276"/>
      <c r="AB245" s="276"/>
      <c r="AC245" s="276"/>
      <c r="AD245" s="276"/>
      <c r="AE245" s="276"/>
      <c r="AF245" s="276"/>
      <c r="AG245" s="276"/>
      <c r="AH245" s="276"/>
      <c r="AI245" s="276"/>
      <c r="AJ245" s="276"/>
      <c r="AK245" s="276"/>
      <c r="AL245" s="276"/>
      <c r="AM245" s="276"/>
      <c r="AN245" s="276"/>
      <c r="AO245" s="276"/>
      <c r="AP245" s="276"/>
      <c r="AQ245" s="276"/>
      <c r="AR245" s="276"/>
      <c r="AS245" s="276"/>
      <c r="AT245" s="276"/>
      <c r="AU245" s="276"/>
      <c r="AV245" s="276"/>
      <c r="AW245" s="236"/>
    </row>
    <row r="246" spans="1:49" s="240" customFormat="1" ht="15" customHeight="1">
      <c r="A246" s="276" t="s">
        <v>235</v>
      </c>
      <c r="B246" s="276"/>
      <c r="C246" s="276"/>
      <c r="D246" s="276"/>
      <c r="E246" s="276" t="s">
        <v>1134</v>
      </c>
      <c r="F246" s="276" t="s">
        <v>54</v>
      </c>
      <c r="G246" s="276" t="s">
        <v>116</v>
      </c>
      <c r="H246" s="236" t="s">
        <v>270</v>
      </c>
      <c r="I246" s="276" t="s">
        <v>1135</v>
      </c>
      <c r="J246" s="276" t="s">
        <v>548</v>
      </c>
      <c r="K246" s="276">
        <v>3.83</v>
      </c>
      <c r="L246" s="277" t="s">
        <v>190</v>
      </c>
      <c r="M246" s="276">
        <v>2022</v>
      </c>
      <c r="N246" s="276"/>
      <c r="O246" s="276"/>
      <c r="P246" s="276"/>
      <c r="Q246" s="276"/>
      <c r="R246" s="277"/>
      <c r="S246" s="276"/>
      <c r="T246" s="276"/>
      <c r="U246" s="276"/>
      <c r="V246" s="276"/>
      <c r="W246" s="276"/>
      <c r="X246" s="276"/>
      <c r="Y246" s="276"/>
      <c r="Z246" s="276"/>
      <c r="AA246" s="276"/>
      <c r="AB246" s="276"/>
      <c r="AC246" s="276"/>
      <c r="AD246" s="276"/>
      <c r="AE246" s="276"/>
      <c r="AF246" s="276"/>
      <c r="AG246" s="276"/>
      <c r="AH246" s="276"/>
      <c r="AI246" s="276"/>
      <c r="AJ246" s="276"/>
      <c r="AK246" s="276"/>
      <c r="AL246" s="276"/>
      <c r="AM246" s="276"/>
      <c r="AN246" s="276"/>
      <c r="AO246" s="276"/>
      <c r="AP246" s="276"/>
      <c r="AQ246" s="276"/>
      <c r="AR246" s="276"/>
      <c r="AS246" s="276"/>
      <c r="AT246" s="276"/>
      <c r="AU246" s="276"/>
      <c r="AV246" s="276"/>
      <c r="AW246" s="236"/>
    </row>
    <row r="247" spans="1:49" s="240" customFormat="1" ht="15" customHeight="1">
      <c r="A247" s="276" t="s">
        <v>235</v>
      </c>
      <c r="B247" s="276"/>
      <c r="C247" s="276"/>
      <c r="D247" s="276"/>
      <c r="E247" s="276" t="s">
        <v>1136</v>
      </c>
      <c r="F247" s="276" t="s">
        <v>172</v>
      </c>
      <c r="G247" s="276" t="s">
        <v>116</v>
      </c>
      <c r="H247" s="236" t="s">
        <v>270</v>
      </c>
      <c r="I247" s="276" t="s">
        <v>1137</v>
      </c>
      <c r="J247" s="276" t="s">
        <v>427</v>
      </c>
      <c r="K247" s="279">
        <v>4.72</v>
      </c>
      <c r="L247" s="277" t="s">
        <v>190</v>
      </c>
      <c r="M247" s="276">
        <v>2020</v>
      </c>
      <c r="N247" s="276"/>
      <c r="O247" s="276" t="s">
        <v>1138</v>
      </c>
      <c r="P247" s="276"/>
      <c r="Q247" s="276"/>
      <c r="R247" s="277"/>
      <c r="S247" s="276"/>
      <c r="T247" s="276"/>
      <c r="U247" s="276"/>
      <c r="V247" s="279"/>
      <c r="W247" s="280">
        <v>0</v>
      </c>
      <c r="X247" s="280">
        <v>0</v>
      </c>
      <c r="Y247" s="280">
        <v>0</v>
      </c>
      <c r="Z247" s="279"/>
      <c r="AA247" s="280">
        <v>0</v>
      </c>
      <c r="AB247" s="280">
        <v>0</v>
      </c>
      <c r="AC247" s="279"/>
      <c r="AD247" s="279"/>
      <c r="AE247" s="279"/>
      <c r="AF247" s="279"/>
      <c r="AG247" s="279"/>
      <c r="AH247" s="279"/>
      <c r="AI247" s="279"/>
      <c r="AJ247" s="279"/>
      <c r="AK247" s="279"/>
      <c r="AL247" s="279"/>
      <c r="AM247" s="279"/>
      <c r="AN247" s="279"/>
      <c r="AO247" s="279"/>
      <c r="AP247" s="279"/>
      <c r="AQ247" s="279"/>
      <c r="AR247" s="276"/>
      <c r="AS247" s="276"/>
      <c r="AT247" s="276"/>
      <c r="AU247" s="276"/>
      <c r="AV247" s="276"/>
      <c r="AW247" s="236"/>
    </row>
    <row r="248" spans="1:49" s="240" customFormat="1" ht="15" customHeight="1">
      <c r="A248" s="276" t="s">
        <v>235</v>
      </c>
      <c r="B248" s="276"/>
      <c r="C248" s="276"/>
      <c r="D248" s="276"/>
      <c r="E248" s="276" t="s">
        <v>1139</v>
      </c>
      <c r="F248" s="277" t="s">
        <v>257</v>
      </c>
      <c r="G248" s="276" t="s">
        <v>116</v>
      </c>
      <c r="H248" s="198" t="s">
        <v>258</v>
      </c>
      <c r="I248" s="276" t="s">
        <v>1140</v>
      </c>
      <c r="J248" s="276" t="s">
        <v>1141</v>
      </c>
      <c r="K248" s="276">
        <v>7.2</v>
      </c>
      <c r="L248" s="277" t="s">
        <v>190</v>
      </c>
      <c r="M248" s="276">
        <v>2006</v>
      </c>
      <c r="N248" s="276"/>
      <c r="O248" s="276"/>
      <c r="P248" s="276"/>
      <c r="Q248" s="276"/>
      <c r="R248" s="277"/>
      <c r="S248" s="276"/>
      <c r="T248" s="276"/>
      <c r="U248" s="276"/>
      <c r="V248" s="276"/>
      <c r="W248" s="276"/>
      <c r="X248" s="276"/>
      <c r="Y248" s="276"/>
      <c r="Z248" s="276"/>
      <c r="AA248" s="276"/>
      <c r="AB248" s="276"/>
      <c r="AC248" s="276"/>
      <c r="AD248" s="276"/>
      <c r="AE248" s="276"/>
      <c r="AF248" s="276"/>
      <c r="AG248" s="276"/>
      <c r="AH248" s="276"/>
      <c r="AI248" s="276"/>
      <c r="AJ248" s="276"/>
      <c r="AK248" s="276"/>
      <c r="AL248" s="276"/>
      <c r="AM248" s="276"/>
      <c r="AN248" s="276"/>
      <c r="AO248" s="276"/>
      <c r="AP248" s="276"/>
      <c r="AQ248" s="276"/>
      <c r="AR248" s="276"/>
      <c r="AS248" s="276"/>
      <c r="AT248" s="276"/>
      <c r="AU248" s="276"/>
      <c r="AV248" s="276"/>
      <c r="AW248" s="236"/>
    </row>
    <row r="249" spans="1:49" s="240" customFormat="1" ht="15" customHeight="1">
      <c r="A249" s="276" t="s">
        <v>235</v>
      </c>
      <c r="B249" s="276"/>
      <c r="C249" s="276"/>
      <c r="D249" s="276"/>
      <c r="E249" s="197" t="s">
        <v>1142</v>
      </c>
      <c r="F249" s="276" t="s">
        <v>172</v>
      </c>
      <c r="G249" s="276" t="s">
        <v>116</v>
      </c>
      <c r="H249" s="236" t="s">
        <v>270</v>
      </c>
      <c r="I249" s="276" t="s">
        <v>1143</v>
      </c>
      <c r="J249" s="276" t="s">
        <v>1144</v>
      </c>
      <c r="K249" s="276">
        <v>4.84</v>
      </c>
      <c r="L249" s="277" t="s">
        <v>190</v>
      </c>
      <c r="M249" s="276">
        <v>1991</v>
      </c>
      <c r="N249" s="276"/>
      <c r="O249" s="276"/>
      <c r="P249" s="276"/>
      <c r="Q249" s="276"/>
      <c r="R249" s="277"/>
      <c r="S249" s="276"/>
      <c r="T249" s="276"/>
      <c r="U249" s="276"/>
      <c r="V249" s="276"/>
      <c r="W249" s="276">
        <v>0</v>
      </c>
      <c r="X249" s="276">
        <v>0</v>
      </c>
      <c r="Y249" s="276">
        <v>0</v>
      </c>
      <c r="Z249" s="276"/>
      <c r="AA249" s="276">
        <v>0</v>
      </c>
      <c r="AB249" s="276">
        <v>0</v>
      </c>
      <c r="AC249" s="276"/>
      <c r="AD249" s="276"/>
      <c r="AE249" s="276"/>
      <c r="AF249" s="276"/>
      <c r="AG249" s="276"/>
      <c r="AH249" s="276"/>
      <c r="AI249" s="276"/>
      <c r="AJ249" s="276"/>
      <c r="AK249" s="276"/>
      <c r="AL249" s="276"/>
      <c r="AM249" s="276"/>
      <c r="AN249" s="276"/>
      <c r="AO249" s="276"/>
      <c r="AP249" s="276"/>
      <c r="AQ249" s="276"/>
      <c r="AR249" s="276"/>
      <c r="AS249" s="276"/>
      <c r="AT249" s="276"/>
      <c r="AU249" s="276"/>
      <c r="AV249" s="276"/>
      <c r="AW249" s="236"/>
    </row>
    <row r="250" spans="1:49" s="240" customFormat="1" ht="15" customHeight="1">
      <c r="A250" s="276" t="s">
        <v>169</v>
      </c>
      <c r="B250" s="236">
        <v>4343</v>
      </c>
      <c r="C250" s="236" t="s">
        <v>1145</v>
      </c>
      <c r="D250" s="276"/>
      <c r="E250" s="276" t="s">
        <v>1146</v>
      </c>
      <c r="F250" s="276" t="s">
        <v>764</v>
      </c>
      <c r="G250" s="276" t="s">
        <v>116</v>
      </c>
      <c r="H250" s="236" t="s">
        <v>270</v>
      </c>
      <c r="I250" s="276" t="s">
        <v>1147</v>
      </c>
      <c r="J250" s="236" t="s">
        <v>544</v>
      </c>
      <c r="K250" s="276">
        <v>6707</v>
      </c>
      <c r="L250" s="277" t="s">
        <v>190</v>
      </c>
      <c r="M250" s="276">
        <v>2022</v>
      </c>
      <c r="N250" s="276">
        <v>2022</v>
      </c>
      <c r="O250" s="236" t="s">
        <v>193</v>
      </c>
      <c r="P250" s="236" t="s">
        <v>199</v>
      </c>
      <c r="Q250" s="236" t="s">
        <v>199</v>
      </c>
      <c r="R250" s="277" t="s">
        <v>1148</v>
      </c>
      <c r="S250" s="236">
        <v>1</v>
      </c>
      <c r="T250" s="237">
        <v>6699</v>
      </c>
      <c r="U250" s="237">
        <v>6699</v>
      </c>
      <c r="V250" s="236"/>
      <c r="W250" s="236">
        <v>0</v>
      </c>
      <c r="X250" s="236">
        <v>0</v>
      </c>
      <c r="Y250" s="236">
        <v>0</v>
      </c>
      <c r="Z250" s="237">
        <v>6699</v>
      </c>
      <c r="AA250" s="236">
        <v>0</v>
      </c>
      <c r="AB250" s="236">
        <v>0</v>
      </c>
      <c r="AC250" s="236">
        <v>0</v>
      </c>
      <c r="AD250" s="236" t="s">
        <v>145</v>
      </c>
      <c r="AE250" s="236">
        <v>0</v>
      </c>
      <c r="AF250" s="236" t="s">
        <v>182</v>
      </c>
      <c r="AG250" s="236">
        <v>1</v>
      </c>
      <c r="AH250" s="236">
        <v>0</v>
      </c>
      <c r="AI250" s="236"/>
      <c r="AJ250" s="236">
        <v>0</v>
      </c>
      <c r="AK250" s="236">
        <v>1</v>
      </c>
      <c r="AL250" s="236">
        <v>1</v>
      </c>
      <c r="AM250" s="236"/>
      <c r="AN250" s="236"/>
      <c r="AO250" s="236"/>
      <c r="AP250" s="236"/>
      <c r="AQ250" s="236">
        <v>555759032</v>
      </c>
      <c r="AR250" s="276"/>
      <c r="AS250" s="276"/>
      <c r="AT250" s="276" t="s">
        <v>180</v>
      </c>
      <c r="AU250" s="250" t="s">
        <v>1149</v>
      </c>
      <c r="AV250" s="276"/>
      <c r="AW250" s="236"/>
    </row>
    <row r="251" spans="1:49" ht="15" customHeight="1">
      <c r="A251" s="276" t="s">
        <v>235</v>
      </c>
      <c r="B251" s="276"/>
      <c r="C251" s="276"/>
      <c r="D251" s="276"/>
      <c r="E251" s="277" t="s">
        <v>1150</v>
      </c>
      <c r="F251" s="277" t="s">
        <v>257</v>
      </c>
      <c r="G251" s="197" t="s">
        <v>220</v>
      </c>
      <c r="H251" s="198" t="s">
        <v>258</v>
      </c>
      <c r="I251" s="277" t="s">
        <v>223</v>
      </c>
      <c r="J251" s="277" t="s">
        <v>1151</v>
      </c>
      <c r="K251" s="277">
        <v>1420</v>
      </c>
      <c r="L251" s="277" t="s">
        <v>190</v>
      </c>
      <c r="M251" s="277">
        <v>2009</v>
      </c>
      <c r="N251" s="277"/>
      <c r="O251" s="277"/>
      <c r="P251" s="276" t="s">
        <v>193</v>
      </c>
      <c r="Q251" s="276"/>
      <c r="R251" s="277"/>
      <c r="S251" s="276"/>
      <c r="T251" s="276"/>
      <c r="U251" s="276"/>
      <c r="V251" s="277"/>
      <c r="W251" s="277"/>
      <c r="X251" s="277"/>
      <c r="Y251" s="277"/>
      <c r="Z251" s="277"/>
      <c r="AA251" s="277"/>
      <c r="AB251" s="277"/>
      <c r="AC251" s="277"/>
      <c r="AD251" s="277"/>
      <c r="AE251" s="277"/>
      <c r="AF251" s="277"/>
      <c r="AG251" s="277"/>
      <c r="AH251" s="277"/>
      <c r="AI251" s="277"/>
      <c r="AJ251" s="277"/>
      <c r="AK251" s="277"/>
      <c r="AL251" s="277"/>
      <c r="AM251" s="277"/>
      <c r="AN251" s="277"/>
      <c r="AO251" s="277"/>
      <c r="AP251" s="277"/>
      <c r="AQ251" s="277"/>
      <c r="AR251" s="276"/>
      <c r="AS251" s="276"/>
      <c r="AT251" s="277"/>
      <c r="AU251" s="250" t="s">
        <v>226</v>
      </c>
      <c r="AV251" s="276"/>
      <c r="AW251" s="236"/>
    </row>
    <row r="252" spans="1:49" ht="15" customHeight="1">
      <c r="A252" s="276" t="s">
        <v>169</v>
      </c>
      <c r="B252" s="236">
        <v>4659</v>
      </c>
      <c r="C252" s="236" t="s">
        <v>1152</v>
      </c>
      <c r="D252" s="276"/>
      <c r="E252" s="276" t="s">
        <v>1153</v>
      </c>
      <c r="F252" s="276" t="s">
        <v>279</v>
      </c>
      <c r="G252" s="276" t="s">
        <v>116</v>
      </c>
      <c r="H252" s="236" t="s">
        <v>270</v>
      </c>
      <c r="I252" s="276" t="s">
        <v>1154</v>
      </c>
      <c r="J252" s="236" t="s">
        <v>953</v>
      </c>
      <c r="K252" s="197">
        <v>153.05000000000001</v>
      </c>
      <c r="L252" s="277" t="s">
        <v>190</v>
      </c>
      <c r="M252" s="276">
        <v>2023</v>
      </c>
      <c r="N252" s="236">
        <v>2023</v>
      </c>
      <c r="O252" s="276" t="s">
        <v>193</v>
      </c>
      <c r="P252" s="200" t="s">
        <v>180</v>
      </c>
      <c r="Q252" s="236" t="s">
        <v>199</v>
      </c>
      <c r="R252" s="277" t="s">
        <v>955</v>
      </c>
      <c r="S252" s="236">
        <v>1</v>
      </c>
      <c r="T252" s="236">
        <v>153</v>
      </c>
      <c r="U252" s="236">
        <v>153</v>
      </c>
      <c r="V252" s="236"/>
      <c r="W252" s="236">
        <v>0</v>
      </c>
      <c r="X252" s="236">
        <v>0</v>
      </c>
      <c r="Y252" s="236">
        <v>0</v>
      </c>
      <c r="Z252" s="236">
        <v>153</v>
      </c>
      <c r="AA252" s="236">
        <v>0</v>
      </c>
      <c r="AB252" s="236">
        <v>0</v>
      </c>
      <c r="AC252" s="236">
        <v>0</v>
      </c>
      <c r="AD252" s="236" t="s">
        <v>145</v>
      </c>
      <c r="AE252" s="236">
        <v>0</v>
      </c>
      <c r="AF252" s="236" t="s">
        <v>182</v>
      </c>
      <c r="AG252" s="236">
        <v>1</v>
      </c>
      <c r="AH252" s="236">
        <v>0</v>
      </c>
      <c r="AI252" s="236"/>
      <c r="AJ252" s="236">
        <v>0</v>
      </c>
      <c r="AK252" s="236">
        <v>1</v>
      </c>
      <c r="AL252" s="236">
        <v>1</v>
      </c>
      <c r="AM252" s="236"/>
      <c r="AN252" s="236"/>
      <c r="AO252" s="236"/>
      <c r="AP252" s="236"/>
      <c r="AQ252" s="236">
        <v>555783641</v>
      </c>
      <c r="AR252" s="276"/>
      <c r="AS252" s="276"/>
      <c r="AT252" s="276" t="s">
        <v>180</v>
      </c>
      <c r="AU252" s="250" t="s">
        <v>1155</v>
      </c>
      <c r="AV252" s="276"/>
      <c r="AW252" s="236"/>
    </row>
    <row r="253" spans="1:49" s="240" customFormat="1" ht="15" customHeight="1">
      <c r="A253" s="276" t="s">
        <v>235</v>
      </c>
      <c r="B253" s="276"/>
      <c r="C253" s="276"/>
      <c r="D253" s="276"/>
      <c r="E253" s="276" t="s">
        <v>1156</v>
      </c>
      <c r="F253" s="276" t="s">
        <v>172</v>
      </c>
      <c r="G253" s="276" t="s">
        <v>116</v>
      </c>
      <c r="H253" s="236" t="s">
        <v>270</v>
      </c>
      <c r="I253" s="276" t="s">
        <v>1157</v>
      </c>
      <c r="J253" s="276" t="s">
        <v>515</v>
      </c>
      <c r="K253" s="276">
        <v>37.44</v>
      </c>
      <c r="L253" s="277" t="s">
        <v>190</v>
      </c>
      <c r="M253" s="276">
        <v>2023</v>
      </c>
      <c r="N253" s="276"/>
      <c r="O253" s="276"/>
      <c r="P253" s="276" t="s">
        <v>319</v>
      </c>
      <c r="Q253" s="276"/>
      <c r="R253" s="277"/>
      <c r="S253" s="276"/>
      <c r="T253" s="276"/>
      <c r="U253" s="276"/>
      <c r="V253" s="276"/>
      <c r="W253" s="276">
        <v>0</v>
      </c>
      <c r="X253" s="276">
        <v>0</v>
      </c>
      <c r="Y253" s="276">
        <v>0</v>
      </c>
      <c r="Z253" s="276"/>
      <c r="AA253" s="276">
        <v>0</v>
      </c>
      <c r="AB253" s="276">
        <v>0</v>
      </c>
      <c r="AC253" s="276"/>
      <c r="AD253" s="276"/>
      <c r="AE253" s="276"/>
      <c r="AF253" s="276"/>
      <c r="AG253" s="276"/>
      <c r="AH253" s="276"/>
      <c r="AI253" s="276"/>
      <c r="AJ253" s="276"/>
      <c r="AK253" s="276"/>
      <c r="AL253" s="276"/>
      <c r="AM253" s="276"/>
      <c r="AN253" s="276"/>
      <c r="AO253" s="276"/>
      <c r="AP253" s="276"/>
      <c r="AQ253" s="276"/>
      <c r="AR253" s="276"/>
      <c r="AS253" s="276"/>
      <c r="AT253" s="276"/>
      <c r="AU253" s="276"/>
      <c r="AV253" s="276"/>
      <c r="AW253" s="236"/>
    </row>
    <row r="254" spans="1:49" s="240" customFormat="1" ht="15" customHeight="1">
      <c r="A254" s="276" t="s">
        <v>235</v>
      </c>
      <c r="B254" s="276"/>
      <c r="C254" s="276"/>
      <c r="D254" s="276"/>
      <c r="E254" s="276" t="s">
        <v>1158</v>
      </c>
      <c r="F254" s="277" t="s">
        <v>257</v>
      </c>
      <c r="G254" s="197" t="s">
        <v>220</v>
      </c>
      <c r="H254" s="198" t="s">
        <v>258</v>
      </c>
      <c r="I254" s="197" t="s">
        <v>122</v>
      </c>
      <c r="J254" s="276" t="s">
        <v>1159</v>
      </c>
      <c r="K254" s="276">
        <v>280</v>
      </c>
      <c r="L254" s="277" t="s">
        <v>190</v>
      </c>
      <c r="M254" s="276" t="s">
        <v>122</v>
      </c>
      <c r="N254" s="276"/>
      <c r="O254" s="197"/>
      <c r="P254" s="276" t="s">
        <v>319</v>
      </c>
      <c r="Q254" s="276"/>
      <c r="R254" s="277"/>
      <c r="S254" s="276"/>
      <c r="T254" s="276"/>
      <c r="U254" s="276"/>
      <c r="V254" s="276"/>
      <c r="W254" s="276"/>
      <c r="X254" s="276"/>
      <c r="Y254" s="276"/>
      <c r="Z254" s="276"/>
      <c r="AA254" s="276"/>
      <c r="AB254" s="276"/>
      <c r="AC254" s="276"/>
      <c r="AD254" s="276"/>
      <c r="AE254" s="276"/>
      <c r="AF254" s="276"/>
      <c r="AG254" s="276"/>
      <c r="AH254" s="276"/>
      <c r="AI254" s="276"/>
      <c r="AJ254" s="276"/>
      <c r="AK254" s="276"/>
      <c r="AL254" s="276"/>
      <c r="AM254" s="276"/>
      <c r="AN254" s="276"/>
      <c r="AO254" s="276"/>
      <c r="AP254" s="276"/>
      <c r="AQ254" s="276"/>
      <c r="AR254" s="203"/>
      <c r="AS254" s="276"/>
      <c r="AT254" s="203"/>
      <c r="AU254" s="197"/>
      <c r="AV254" s="276"/>
      <c r="AW254" s="236"/>
    </row>
    <row r="255" spans="1:49" s="240" customFormat="1" ht="15" customHeight="1">
      <c r="A255" s="276" t="s">
        <v>169</v>
      </c>
      <c r="B255" s="236">
        <v>4642</v>
      </c>
      <c r="C255" s="236" t="s">
        <v>1160</v>
      </c>
      <c r="D255" s="276"/>
      <c r="E255" s="276" t="s">
        <v>1161</v>
      </c>
      <c r="F255" s="276" t="s">
        <v>54</v>
      </c>
      <c r="G255" s="197" t="s">
        <v>220</v>
      </c>
      <c r="H255" s="236" t="s">
        <v>270</v>
      </c>
      <c r="I255" s="197" t="s">
        <v>1162</v>
      </c>
      <c r="J255" s="236" t="s">
        <v>372</v>
      </c>
      <c r="K255" s="276">
        <v>2.02</v>
      </c>
      <c r="L255" s="277" t="s">
        <v>190</v>
      </c>
      <c r="M255" s="276">
        <v>2023</v>
      </c>
      <c r="N255" s="236">
        <v>2023</v>
      </c>
      <c r="O255" s="236" t="s">
        <v>193</v>
      </c>
      <c r="P255" s="276" t="s">
        <v>319</v>
      </c>
      <c r="Q255" s="236" t="s">
        <v>199</v>
      </c>
      <c r="R255" s="277"/>
      <c r="S255" s="236">
        <v>1</v>
      </c>
      <c r="T255" s="236">
        <v>2.01892848</v>
      </c>
      <c r="U255" s="236">
        <v>2.01892848</v>
      </c>
      <c r="V255" s="236"/>
      <c r="W255" s="236">
        <v>0</v>
      </c>
      <c r="X255" s="236">
        <v>0</v>
      </c>
      <c r="Y255" s="236">
        <v>0</v>
      </c>
      <c r="Z255" s="236">
        <v>2.01892848</v>
      </c>
      <c r="AA255" s="236">
        <v>0</v>
      </c>
      <c r="AB255" s="236">
        <v>0</v>
      </c>
      <c r="AC255" s="236">
        <v>0</v>
      </c>
      <c r="AD255" s="236" t="s">
        <v>145</v>
      </c>
      <c r="AE255" s="236">
        <v>0</v>
      </c>
      <c r="AF255" s="236" t="s">
        <v>208</v>
      </c>
      <c r="AG255" s="236">
        <v>0</v>
      </c>
      <c r="AH255" s="236">
        <v>1</v>
      </c>
      <c r="AI255" s="236"/>
      <c r="AJ255" s="236">
        <v>0</v>
      </c>
      <c r="AK255" s="236">
        <v>1</v>
      </c>
      <c r="AL255" s="236">
        <v>1</v>
      </c>
      <c r="AM255" s="236"/>
      <c r="AN255" s="236"/>
      <c r="AO255" s="236"/>
      <c r="AP255" s="236"/>
      <c r="AQ255" s="236">
        <v>555783716</v>
      </c>
      <c r="AR255" s="276" t="s">
        <v>620</v>
      </c>
      <c r="AS255" s="276"/>
      <c r="AT255" s="276" t="s">
        <v>319</v>
      </c>
      <c r="AU255" s="250" t="s">
        <v>792</v>
      </c>
      <c r="AV255" s="276"/>
      <c r="AW255" s="236"/>
    </row>
    <row r="256" spans="1:49" s="240" customFormat="1" ht="15" customHeight="1">
      <c r="A256" s="276" t="s">
        <v>235</v>
      </c>
      <c r="B256" s="276"/>
      <c r="C256" s="276"/>
      <c r="D256" s="276"/>
      <c r="E256" s="276" t="s">
        <v>1163</v>
      </c>
      <c r="F256" s="276" t="s">
        <v>279</v>
      </c>
      <c r="G256" s="276" t="s">
        <v>116</v>
      </c>
      <c r="H256" s="236" t="s">
        <v>270</v>
      </c>
      <c r="I256" s="276" t="s">
        <v>1164</v>
      </c>
      <c r="J256" s="276" t="s">
        <v>1165</v>
      </c>
      <c r="K256" s="276"/>
      <c r="L256" s="277" t="s">
        <v>190</v>
      </c>
      <c r="M256" s="276">
        <v>1987</v>
      </c>
      <c r="N256" s="276">
        <v>1987</v>
      </c>
      <c r="O256" s="276" t="s">
        <v>193</v>
      </c>
      <c r="P256" s="276"/>
      <c r="Q256" s="276"/>
      <c r="R256" s="277"/>
      <c r="S256" s="276"/>
      <c r="T256" s="276"/>
      <c r="U256" s="276"/>
      <c r="V256" s="276"/>
      <c r="W256" s="276"/>
      <c r="X256" s="276"/>
      <c r="Y256" s="276"/>
      <c r="Z256" s="276"/>
      <c r="AA256" s="276"/>
      <c r="AB256" s="276"/>
      <c r="AC256" s="276"/>
      <c r="AD256" s="276"/>
      <c r="AE256" s="276"/>
      <c r="AF256" s="276"/>
      <c r="AG256" s="276"/>
      <c r="AH256" s="276"/>
      <c r="AI256" s="276"/>
      <c r="AJ256" s="276"/>
      <c r="AK256" s="276"/>
      <c r="AL256" s="276"/>
      <c r="AM256" s="276"/>
      <c r="AN256" s="276"/>
      <c r="AO256" s="276"/>
      <c r="AP256" s="276"/>
      <c r="AQ256" s="276"/>
      <c r="AR256" s="276"/>
      <c r="AS256" s="276"/>
      <c r="AT256" s="276"/>
      <c r="AU256" s="276"/>
      <c r="AV256" s="251" t="s">
        <v>1166</v>
      </c>
      <c r="AW256" s="236"/>
    </row>
    <row r="257" spans="1:49" ht="15" customHeight="1">
      <c r="A257" s="276" t="s">
        <v>235</v>
      </c>
      <c r="B257" s="276"/>
      <c r="C257" s="276"/>
      <c r="D257" s="276"/>
      <c r="E257" s="276" t="s">
        <v>1167</v>
      </c>
      <c r="F257" s="277" t="s">
        <v>257</v>
      </c>
      <c r="G257" s="276" t="s">
        <v>116</v>
      </c>
      <c r="H257" s="198" t="s">
        <v>258</v>
      </c>
      <c r="I257" s="276" t="s">
        <v>1168</v>
      </c>
      <c r="J257" s="276" t="s">
        <v>1169</v>
      </c>
      <c r="K257" s="276" t="s">
        <v>122</v>
      </c>
      <c r="L257" s="277" t="s">
        <v>190</v>
      </c>
      <c r="M257" s="276">
        <v>1996</v>
      </c>
      <c r="N257" s="276"/>
      <c r="O257" s="276" t="s">
        <v>1170</v>
      </c>
      <c r="P257" s="276"/>
      <c r="Q257" s="276"/>
      <c r="R257" s="277"/>
      <c r="S257" s="276"/>
      <c r="T257" s="276"/>
      <c r="U257" s="276"/>
      <c r="V257" s="276"/>
      <c r="W257" s="276"/>
      <c r="X257" s="276"/>
      <c r="Y257" s="276"/>
      <c r="Z257" s="276"/>
      <c r="AA257" s="276"/>
      <c r="AB257" s="276"/>
      <c r="AC257" s="276"/>
      <c r="AD257" s="276"/>
      <c r="AE257" s="276"/>
      <c r="AF257" s="276"/>
      <c r="AG257" s="276"/>
      <c r="AH257" s="276"/>
      <c r="AI257" s="276"/>
      <c r="AJ257" s="276"/>
      <c r="AK257" s="276"/>
      <c r="AL257" s="276"/>
      <c r="AM257" s="276"/>
      <c r="AN257" s="276"/>
      <c r="AO257" s="276"/>
      <c r="AP257" s="276"/>
      <c r="AQ257" s="276"/>
      <c r="AR257" s="276"/>
      <c r="AS257" s="276"/>
      <c r="AT257" s="276"/>
      <c r="AU257" s="276"/>
      <c r="AV257" s="276"/>
      <c r="AW257" s="236"/>
    </row>
    <row r="258" spans="1:49" s="240" customFormat="1" ht="15" customHeight="1">
      <c r="A258" s="276" t="s">
        <v>235</v>
      </c>
      <c r="B258" s="276"/>
      <c r="C258" s="276"/>
      <c r="D258" s="276"/>
      <c r="E258" s="276" t="s">
        <v>1171</v>
      </c>
      <c r="F258" s="277" t="s">
        <v>257</v>
      </c>
      <c r="G258" s="276" t="s">
        <v>116</v>
      </c>
      <c r="H258" s="198" t="s">
        <v>258</v>
      </c>
      <c r="I258" s="276" t="s">
        <v>1172</v>
      </c>
      <c r="J258" s="276" t="s">
        <v>1173</v>
      </c>
      <c r="K258" s="214">
        <v>79.72</v>
      </c>
      <c r="L258" s="277" t="s">
        <v>190</v>
      </c>
      <c r="M258" s="276">
        <v>1999</v>
      </c>
      <c r="N258" s="276"/>
      <c r="O258" s="276"/>
      <c r="P258" s="276"/>
      <c r="Q258" s="276"/>
      <c r="R258" s="277"/>
      <c r="S258" s="276"/>
      <c r="T258" s="276"/>
      <c r="U258" s="276"/>
      <c r="V258" s="214"/>
      <c r="W258" s="214"/>
      <c r="X258" s="214"/>
      <c r="Y258" s="214"/>
      <c r="Z258" s="214"/>
      <c r="AA258" s="214"/>
      <c r="AB258" s="214"/>
      <c r="AC258" s="214"/>
      <c r="AD258" s="214"/>
      <c r="AE258" s="214"/>
      <c r="AF258" s="214"/>
      <c r="AG258" s="214"/>
      <c r="AH258" s="214"/>
      <c r="AI258" s="214"/>
      <c r="AJ258" s="214"/>
      <c r="AK258" s="214"/>
      <c r="AL258" s="214"/>
      <c r="AM258" s="214"/>
      <c r="AN258" s="214"/>
      <c r="AO258" s="214"/>
      <c r="AP258" s="214"/>
      <c r="AQ258" s="214"/>
      <c r="AR258" s="276"/>
      <c r="AS258" s="276"/>
      <c r="AT258" s="276"/>
      <c r="AU258" s="276"/>
      <c r="AV258" s="276"/>
      <c r="AW258" s="236"/>
    </row>
    <row r="259" spans="1:49" s="240" customFormat="1" ht="74.25" customHeight="1">
      <c r="A259" s="276" t="s">
        <v>235</v>
      </c>
      <c r="B259" s="276"/>
      <c r="C259" s="276"/>
      <c r="D259" s="276"/>
      <c r="E259" s="276" t="s">
        <v>1174</v>
      </c>
      <c r="F259" s="277" t="s">
        <v>257</v>
      </c>
      <c r="G259" s="276" t="s">
        <v>116</v>
      </c>
      <c r="H259" s="198" t="s">
        <v>258</v>
      </c>
      <c r="I259" s="276" t="s">
        <v>1175</v>
      </c>
      <c r="J259" s="276" t="s">
        <v>1176</v>
      </c>
      <c r="K259" s="276" t="s">
        <v>368</v>
      </c>
      <c r="L259" s="277" t="s">
        <v>190</v>
      </c>
      <c r="M259" s="276">
        <v>1994</v>
      </c>
      <c r="N259" s="276"/>
      <c r="O259" s="276"/>
      <c r="P259" s="276"/>
      <c r="Q259" s="276"/>
      <c r="R259" s="277"/>
      <c r="S259" s="276"/>
      <c r="T259" s="276"/>
      <c r="U259" s="276"/>
      <c r="V259" s="276"/>
      <c r="W259" s="276"/>
      <c r="X259" s="276"/>
      <c r="Y259" s="276"/>
      <c r="Z259" s="276"/>
      <c r="AA259" s="276"/>
      <c r="AB259" s="276"/>
      <c r="AC259" s="276"/>
      <c r="AD259" s="276"/>
      <c r="AE259" s="276"/>
      <c r="AF259" s="276"/>
      <c r="AG259" s="276"/>
      <c r="AH259" s="276"/>
      <c r="AI259" s="276"/>
      <c r="AJ259" s="276"/>
      <c r="AK259" s="276"/>
      <c r="AL259" s="276"/>
      <c r="AM259" s="276"/>
      <c r="AN259" s="276"/>
      <c r="AO259" s="276"/>
      <c r="AP259" s="276"/>
      <c r="AQ259" s="276"/>
      <c r="AR259" s="276"/>
      <c r="AS259" s="276"/>
      <c r="AT259" s="276"/>
      <c r="AU259" s="276"/>
      <c r="AV259" s="238" t="s">
        <v>1177</v>
      </c>
      <c r="AW259" s="227" t="s">
        <v>1178</v>
      </c>
    </row>
    <row r="260" spans="1:49" s="240" customFormat="1" ht="15" customHeight="1">
      <c r="A260" s="276" t="s">
        <v>235</v>
      </c>
      <c r="B260" s="276"/>
      <c r="C260" s="276"/>
      <c r="D260" s="276"/>
      <c r="E260" s="276" t="s">
        <v>1179</v>
      </c>
      <c r="F260" s="277" t="s">
        <v>257</v>
      </c>
      <c r="G260" s="276" t="s">
        <v>116</v>
      </c>
      <c r="H260" s="198" t="s">
        <v>258</v>
      </c>
      <c r="I260" s="276" t="s">
        <v>1180</v>
      </c>
      <c r="J260" s="276" t="s">
        <v>1176</v>
      </c>
      <c r="K260" s="276" t="s">
        <v>368</v>
      </c>
      <c r="L260" s="277" t="s">
        <v>190</v>
      </c>
      <c r="M260" s="276">
        <v>1995</v>
      </c>
      <c r="N260" s="276"/>
      <c r="O260" s="276" t="s">
        <v>1181</v>
      </c>
      <c r="P260" s="276"/>
      <c r="Q260" s="276"/>
      <c r="R260" s="277"/>
      <c r="S260" s="276"/>
      <c r="T260" s="276"/>
      <c r="U260" s="276"/>
      <c r="V260" s="276"/>
      <c r="W260" s="276"/>
      <c r="X260" s="276"/>
      <c r="Y260" s="276"/>
      <c r="Z260" s="276"/>
      <c r="AA260" s="276"/>
      <c r="AB260" s="276"/>
      <c r="AC260" s="276"/>
      <c r="AD260" s="276"/>
      <c r="AE260" s="276"/>
      <c r="AF260" s="276"/>
      <c r="AG260" s="276"/>
      <c r="AH260" s="276"/>
      <c r="AI260" s="276"/>
      <c r="AJ260" s="276"/>
      <c r="AK260" s="276"/>
      <c r="AL260" s="276"/>
      <c r="AM260" s="276"/>
      <c r="AN260" s="276"/>
      <c r="AO260" s="276"/>
      <c r="AP260" s="276"/>
      <c r="AQ260" s="276"/>
      <c r="AR260" s="276"/>
      <c r="AS260" s="276"/>
      <c r="AT260" s="276"/>
      <c r="AU260" s="276"/>
      <c r="AV260" s="277"/>
      <c r="AW260" s="236"/>
    </row>
    <row r="261" spans="1:49" s="240" customFormat="1" ht="15" customHeight="1">
      <c r="A261" s="276" t="s">
        <v>235</v>
      </c>
      <c r="B261" s="276"/>
      <c r="C261" s="276"/>
      <c r="D261" s="276"/>
      <c r="E261" s="277" t="s">
        <v>1182</v>
      </c>
      <c r="F261" s="277" t="s">
        <v>257</v>
      </c>
      <c r="G261" s="276" t="s">
        <v>116</v>
      </c>
      <c r="H261" s="198" t="s">
        <v>258</v>
      </c>
      <c r="I261" s="276" t="s">
        <v>1183</v>
      </c>
      <c r="J261" s="276" t="s">
        <v>1176</v>
      </c>
      <c r="K261" s="276" t="s">
        <v>368</v>
      </c>
      <c r="L261" s="277" t="s">
        <v>190</v>
      </c>
      <c r="M261" s="276">
        <v>1999</v>
      </c>
      <c r="N261" s="276"/>
      <c r="O261" s="276"/>
      <c r="P261" s="276"/>
      <c r="Q261" s="276"/>
      <c r="R261" s="277"/>
      <c r="S261" s="276"/>
      <c r="T261" s="276"/>
      <c r="U261" s="276"/>
      <c r="V261" s="276"/>
      <c r="W261" s="276"/>
      <c r="X261" s="276"/>
      <c r="Y261" s="276"/>
      <c r="Z261" s="276"/>
      <c r="AA261" s="276"/>
      <c r="AB261" s="276"/>
      <c r="AC261" s="276"/>
      <c r="AD261" s="276"/>
      <c r="AE261" s="276"/>
      <c r="AF261" s="276"/>
      <c r="AG261" s="276"/>
      <c r="AH261" s="276"/>
      <c r="AI261" s="276"/>
      <c r="AJ261" s="276"/>
      <c r="AK261" s="276"/>
      <c r="AL261" s="276"/>
      <c r="AM261" s="276"/>
      <c r="AN261" s="276"/>
      <c r="AO261" s="276"/>
      <c r="AP261" s="276"/>
      <c r="AQ261" s="276"/>
      <c r="AR261" s="276"/>
      <c r="AS261" s="276"/>
      <c r="AT261" s="276"/>
      <c r="AU261" s="276"/>
      <c r="AV261" s="277"/>
      <c r="AW261" s="236"/>
    </row>
    <row r="262" spans="1:49" s="240" customFormat="1" ht="15" customHeight="1">
      <c r="A262" s="276" t="s">
        <v>169</v>
      </c>
      <c r="B262" s="236">
        <v>4898</v>
      </c>
      <c r="C262" s="236" t="s">
        <v>1184</v>
      </c>
      <c r="D262" s="276"/>
      <c r="E262" s="276" t="s">
        <v>1185</v>
      </c>
      <c r="F262" s="276" t="s">
        <v>54</v>
      </c>
      <c r="G262" s="197" t="s">
        <v>220</v>
      </c>
      <c r="H262" s="236" t="s">
        <v>270</v>
      </c>
      <c r="I262" s="197" t="s">
        <v>1186</v>
      </c>
      <c r="J262" s="236" t="s">
        <v>1122</v>
      </c>
      <c r="K262" s="276">
        <v>3</v>
      </c>
      <c r="L262" s="277" t="s">
        <v>190</v>
      </c>
      <c r="M262" s="276">
        <v>2024</v>
      </c>
      <c r="N262" s="236">
        <v>2024</v>
      </c>
      <c r="O262" s="236" t="s">
        <v>193</v>
      </c>
      <c r="P262" s="276" t="s">
        <v>319</v>
      </c>
      <c r="Q262" s="236" t="s">
        <v>199</v>
      </c>
      <c r="R262" s="277"/>
      <c r="S262" s="236">
        <v>1</v>
      </c>
      <c r="T262" s="236">
        <v>3</v>
      </c>
      <c r="U262" s="236">
        <v>3</v>
      </c>
      <c r="V262" s="236"/>
      <c r="W262" s="236">
        <v>0</v>
      </c>
      <c r="X262" s="236">
        <v>0</v>
      </c>
      <c r="Y262" s="236">
        <v>0</v>
      </c>
      <c r="Z262" s="236">
        <v>3</v>
      </c>
      <c r="AA262" s="236">
        <v>0</v>
      </c>
      <c r="AB262" s="236">
        <v>0</v>
      </c>
      <c r="AC262" s="236">
        <v>0</v>
      </c>
      <c r="AD262" s="236" t="s">
        <v>145</v>
      </c>
      <c r="AE262" s="236">
        <v>0</v>
      </c>
      <c r="AF262" s="236" t="s">
        <v>208</v>
      </c>
      <c r="AG262" s="236">
        <v>0</v>
      </c>
      <c r="AH262" s="236">
        <v>1</v>
      </c>
      <c r="AI262" s="236"/>
      <c r="AJ262" s="236">
        <v>0</v>
      </c>
      <c r="AK262" s="236">
        <v>0</v>
      </c>
      <c r="AL262" s="236">
        <v>0</v>
      </c>
      <c r="AM262" s="236"/>
      <c r="AN262" s="236"/>
      <c r="AO262" s="236"/>
      <c r="AP262" s="236"/>
      <c r="AQ262" s="236" t="s">
        <v>193</v>
      </c>
      <c r="AR262" s="276" t="s">
        <v>620</v>
      </c>
      <c r="AS262" s="276"/>
      <c r="AT262" s="276" t="s">
        <v>319</v>
      </c>
      <c r="AU262" s="250" t="s">
        <v>792</v>
      </c>
      <c r="AV262" s="276"/>
      <c r="AW262" s="236"/>
    </row>
    <row r="263" spans="1:49" s="240" customFormat="1" ht="15" customHeight="1">
      <c r="A263" s="276" t="s">
        <v>169</v>
      </c>
      <c r="B263" s="276">
        <v>4996</v>
      </c>
      <c r="C263" s="276" t="s">
        <v>1187</v>
      </c>
      <c r="D263" s="276"/>
      <c r="E263" s="276" t="s">
        <v>1188</v>
      </c>
      <c r="F263" s="276" t="s">
        <v>54</v>
      </c>
      <c r="G263" s="197" t="s">
        <v>220</v>
      </c>
      <c r="H263" s="236" t="s">
        <v>270</v>
      </c>
      <c r="I263" s="197" t="s">
        <v>1189</v>
      </c>
      <c r="J263" s="236" t="s">
        <v>548</v>
      </c>
      <c r="K263" s="276">
        <v>2.85</v>
      </c>
      <c r="L263" s="277" t="s">
        <v>190</v>
      </c>
      <c r="M263" s="276">
        <v>2024</v>
      </c>
      <c r="N263" s="276">
        <v>2024</v>
      </c>
      <c r="O263" s="197"/>
      <c r="P263" s="276" t="s">
        <v>319</v>
      </c>
      <c r="Q263" s="236" t="s">
        <v>199</v>
      </c>
      <c r="R263" s="277"/>
      <c r="S263" s="278">
        <v>1</v>
      </c>
      <c r="T263" s="278">
        <v>2.85</v>
      </c>
      <c r="U263" s="278">
        <v>2.85</v>
      </c>
      <c r="V263" s="278"/>
      <c r="W263" s="278">
        <v>0</v>
      </c>
      <c r="X263" s="278">
        <v>0</v>
      </c>
      <c r="Y263" s="278">
        <v>0</v>
      </c>
      <c r="Z263" s="278">
        <v>2.85</v>
      </c>
      <c r="AA263" s="278">
        <v>0</v>
      </c>
      <c r="AB263" s="278">
        <v>0</v>
      </c>
      <c r="AC263" s="278">
        <v>0</v>
      </c>
      <c r="AD263" s="278" t="s">
        <v>145</v>
      </c>
      <c r="AE263" s="278">
        <v>0</v>
      </c>
      <c r="AF263" s="278" t="s">
        <v>208</v>
      </c>
      <c r="AG263" s="278">
        <v>0</v>
      </c>
      <c r="AH263" s="278">
        <v>1</v>
      </c>
      <c r="AI263" s="278"/>
      <c r="AJ263" s="278">
        <v>0</v>
      </c>
      <c r="AK263" s="278">
        <v>1</v>
      </c>
      <c r="AL263" s="278">
        <v>1</v>
      </c>
      <c r="AM263" s="278"/>
      <c r="AN263" s="278"/>
      <c r="AO263" s="278"/>
      <c r="AP263" s="278"/>
      <c r="AQ263" s="278" t="s">
        <v>193</v>
      </c>
      <c r="AR263" s="276" t="s">
        <v>620</v>
      </c>
      <c r="AS263" s="276"/>
      <c r="AT263" s="276" t="s">
        <v>319</v>
      </c>
      <c r="AU263" s="250" t="s">
        <v>792</v>
      </c>
      <c r="AV263" s="276"/>
      <c r="AW263" s="236"/>
    </row>
    <row r="264" spans="1:49" s="240" customFormat="1" ht="15" customHeight="1">
      <c r="A264" s="276" t="s">
        <v>169</v>
      </c>
      <c r="B264" s="236">
        <v>4897</v>
      </c>
      <c r="C264" s="236" t="s">
        <v>1190</v>
      </c>
      <c r="D264" s="276"/>
      <c r="E264" s="276" t="s">
        <v>1191</v>
      </c>
      <c r="F264" s="276" t="s">
        <v>54</v>
      </c>
      <c r="G264" s="197" t="s">
        <v>220</v>
      </c>
      <c r="H264" s="236" t="s">
        <v>270</v>
      </c>
      <c r="I264" s="197" t="s">
        <v>1192</v>
      </c>
      <c r="J264" s="236" t="s">
        <v>328</v>
      </c>
      <c r="K264" s="276">
        <v>27.8</v>
      </c>
      <c r="L264" s="277" t="s">
        <v>190</v>
      </c>
      <c r="M264" s="276">
        <v>2024</v>
      </c>
      <c r="N264" s="236">
        <v>2024</v>
      </c>
      <c r="O264" s="236" t="s">
        <v>193</v>
      </c>
      <c r="P264" s="276" t="s">
        <v>319</v>
      </c>
      <c r="Q264" s="236" t="s">
        <v>199</v>
      </c>
      <c r="R264" s="277"/>
      <c r="S264" s="236">
        <v>1</v>
      </c>
      <c r="T264" s="236">
        <v>28</v>
      </c>
      <c r="U264" s="236">
        <v>28</v>
      </c>
      <c r="V264" s="236"/>
      <c r="W264" s="236">
        <v>0</v>
      </c>
      <c r="X264" s="236">
        <v>0</v>
      </c>
      <c r="Y264" s="236">
        <v>0</v>
      </c>
      <c r="Z264" s="236">
        <v>28</v>
      </c>
      <c r="AA264" s="236">
        <v>0</v>
      </c>
      <c r="AB264" s="236">
        <v>0</v>
      </c>
      <c r="AC264" s="236">
        <v>0</v>
      </c>
      <c r="AD264" s="236" t="s">
        <v>145</v>
      </c>
      <c r="AE264" s="236">
        <v>0</v>
      </c>
      <c r="AF264" s="236" t="s">
        <v>208</v>
      </c>
      <c r="AG264" s="236">
        <v>0</v>
      </c>
      <c r="AH264" s="236">
        <v>1</v>
      </c>
      <c r="AI264" s="236"/>
      <c r="AJ264" s="236">
        <v>0</v>
      </c>
      <c r="AK264" s="236">
        <v>1</v>
      </c>
      <c r="AL264" s="236">
        <v>1</v>
      </c>
      <c r="AM264" s="236"/>
      <c r="AN264" s="236"/>
      <c r="AO264" s="236"/>
      <c r="AP264" s="236"/>
      <c r="AQ264" s="236" t="s">
        <v>193</v>
      </c>
      <c r="AR264" s="276" t="s">
        <v>620</v>
      </c>
      <c r="AS264" s="276"/>
      <c r="AT264" s="276" t="s">
        <v>319</v>
      </c>
      <c r="AU264" s="250" t="s">
        <v>792</v>
      </c>
      <c r="AV264" s="276"/>
      <c r="AW264" s="236"/>
    </row>
    <row r="265" spans="1:49" s="240" customFormat="1" ht="33.75" customHeight="1">
      <c r="A265" s="276" t="s">
        <v>169</v>
      </c>
      <c r="B265" s="236">
        <v>4900</v>
      </c>
      <c r="C265" s="236" t="s">
        <v>1193</v>
      </c>
      <c r="D265" s="276"/>
      <c r="E265" s="276" t="s">
        <v>1194</v>
      </c>
      <c r="F265" s="276" t="s">
        <v>54</v>
      </c>
      <c r="G265" s="197" t="s">
        <v>220</v>
      </c>
      <c r="H265" s="236" t="s">
        <v>270</v>
      </c>
      <c r="I265" s="197" t="s">
        <v>1195</v>
      </c>
      <c r="J265" s="236" t="s">
        <v>1118</v>
      </c>
      <c r="K265" s="276">
        <v>9.48</v>
      </c>
      <c r="L265" s="277" t="s">
        <v>190</v>
      </c>
      <c r="M265" s="276">
        <v>2024</v>
      </c>
      <c r="N265" s="236">
        <v>2024</v>
      </c>
      <c r="O265" s="236" t="s">
        <v>193</v>
      </c>
      <c r="P265" s="276" t="s">
        <v>319</v>
      </c>
      <c r="Q265" s="236" t="s">
        <v>199</v>
      </c>
      <c r="R265" s="277"/>
      <c r="S265" s="236">
        <v>1</v>
      </c>
      <c r="T265" s="236">
        <v>9.4861655880000004</v>
      </c>
      <c r="U265" s="236">
        <v>9.4861655880000004</v>
      </c>
      <c r="V265" s="236"/>
      <c r="W265" s="236">
        <v>0</v>
      </c>
      <c r="X265" s="236">
        <v>0</v>
      </c>
      <c r="Y265" s="236">
        <v>0</v>
      </c>
      <c r="Z265" s="236">
        <v>9.4861655880000004</v>
      </c>
      <c r="AA265" s="236">
        <v>0</v>
      </c>
      <c r="AB265" s="236">
        <v>0</v>
      </c>
      <c r="AC265" s="236">
        <v>0</v>
      </c>
      <c r="AD265" s="236" t="s">
        <v>145</v>
      </c>
      <c r="AE265" s="236">
        <v>0</v>
      </c>
      <c r="AF265" s="236" t="s">
        <v>208</v>
      </c>
      <c r="AG265" s="236">
        <v>0</v>
      </c>
      <c r="AH265" s="236">
        <v>1</v>
      </c>
      <c r="AI265" s="236"/>
      <c r="AJ265" s="236">
        <v>0</v>
      </c>
      <c r="AK265" s="236">
        <v>0</v>
      </c>
      <c r="AL265" s="236">
        <v>0</v>
      </c>
      <c r="AM265" s="236"/>
      <c r="AN265" s="236"/>
      <c r="AO265" s="236"/>
      <c r="AP265" s="236"/>
      <c r="AQ265" s="236" t="s">
        <v>193</v>
      </c>
      <c r="AR265" s="276" t="s">
        <v>620</v>
      </c>
      <c r="AS265" s="276"/>
      <c r="AT265" s="276" t="s">
        <v>319</v>
      </c>
      <c r="AU265" s="250" t="s">
        <v>792</v>
      </c>
      <c r="AV265" s="276"/>
      <c r="AW265" s="236"/>
    </row>
    <row r="266" spans="1:49" s="240" customFormat="1" ht="31.5" customHeight="1">
      <c r="A266" s="276" t="s">
        <v>169</v>
      </c>
      <c r="B266" s="236">
        <v>4899</v>
      </c>
      <c r="C266" s="236" t="s">
        <v>1196</v>
      </c>
      <c r="D266" s="276"/>
      <c r="E266" s="276" t="s">
        <v>1197</v>
      </c>
      <c r="F266" s="276" t="s">
        <v>54</v>
      </c>
      <c r="G266" s="197" t="s">
        <v>220</v>
      </c>
      <c r="H266" s="236" t="s">
        <v>270</v>
      </c>
      <c r="I266" s="197" t="s">
        <v>1198</v>
      </c>
      <c r="J266" s="236" t="s">
        <v>1199</v>
      </c>
      <c r="K266" s="276">
        <v>5.49</v>
      </c>
      <c r="L266" s="277" t="s">
        <v>190</v>
      </c>
      <c r="M266" s="276">
        <v>2024</v>
      </c>
      <c r="N266" s="236">
        <v>2024</v>
      </c>
      <c r="O266" s="236" t="s">
        <v>193</v>
      </c>
      <c r="P266" s="276" t="s">
        <v>319</v>
      </c>
      <c r="Q266" s="236" t="s">
        <v>199</v>
      </c>
      <c r="R266" s="277"/>
      <c r="S266" s="236">
        <v>1</v>
      </c>
      <c r="T266" s="236">
        <v>5</v>
      </c>
      <c r="U266" s="236">
        <v>5</v>
      </c>
      <c r="V266" s="236"/>
      <c r="W266" s="236">
        <v>0</v>
      </c>
      <c r="X266" s="236">
        <v>0</v>
      </c>
      <c r="Y266" s="236">
        <v>0</v>
      </c>
      <c r="Z266" s="236">
        <v>5</v>
      </c>
      <c r="AA266" s="236">
        <v>0</v>
      </c>
      <c r="AB266" s="236">
        <v>0</v>
      </c>
      <c r="AC266" s="236">
        <v>0</v>
      </c>
      <c r="AD266" s="236" t="s">
        <v>145</v>
      </c>
      <c r="AE266" s="236">
        <v>0</v>
      </c>
      <c r="AF266" s="236" t="s">
        <v>208</v>
      </c>
      <c r="AG266" s="236">
        <v>0</v>
      </c>
      <c r="AH266" s="236">
        <v>1</v>
      </c>
      <c r="AI266" s="236"/>
      <c r="AJ266" s="236">
        <v>0</v>
      </c>
      <c r="AK266" s="236">
        <v>0</v>
      </c>
      <c r="AL266" s="236">
        <v>0</v>
      </c>
      <c r="AM266" s="236"/>
      <c r="AN266" s="236"/>
      <c r="AO266" s="236"/>
      <c r="AP266" s="236"/>
      <c r="AQ266" s="236" t="s">
        <v>193</v>
      </c>
      <c r="AR266" s="276" t="s">
        <v>620</v>
      </c>
      <c r="AS266" s="276"/>
      <c r="AT266" s="276"/>
      <c r="AU266" s="250" t="s">
        <v>792</v>
      </c>
      <c r="AV266" s="276"/>
      <c r="AW266" s="236"/>
    </row>
    <row r="267" spans="1:49" s="240" customFormat="1" ht="33" customHeight="1">
      <c r="A267" s="276" t="s">
        <v>169</v>
      </c>
      <c r="B267" s="236">
        <v>4941</v>
      </c>
      <c r="C267" s="236" t="s">
        <v>1200</v>
      </c>
      <c r="D267" s="276"/>
      <c r="E267" s="197" t="s">
        <v>1201</v>
      </c>
      <c r="F267" s="276" t="s">
        <v>229</v>
      </c>
      <c r="G267" s="276" t="s">
        <v>116</v>
      </c>
      <c r="H267" s="236" t="s">
        <v>270</v>
      </c>
      <c r="I267" s="197" t="s">
        <v>1202</v>
      </c>
      <c r="J267" s="236" t="s">
        <v>334</v>
      </c>
      <c r="K267" s="276">
        <v>11.52</v>
      </c>
      <c r="L267" s="277" t="s">
        <v>190</v>
      </c>
      <c r="M267" s="276">
        <v>2024</v>
      </c>
      <c r="N267" s="276">
        <v>2024</v>
      </c>
      <c r="O267" s="197" t="s">
        <v>1203</v>
      </c>
      <c r="P267" s="276" t="s">
        <v>319</v>
      </c>
      <c r="Q267" s="276" t="s">
        <v>319</v>
      </c>
      <c r="R267" s="277" t="s">
        <v>796</v>
      </c>
      <c r="S267" s="236">
        <v>1</v>
      </c>
      <c r="T267" s="236">
        <v>12</v>
      </c>
      <c r="U267" s="236">
        <v>12</v>
      </c>
      <c r="V267" s="236"/>
      <c r="W267" s="236">
        <v>0</v>
      </c>
      <c r="X267" s="236">
        <v>0</v>
      </c>
      <c r="Y267" s="236">
        <v>0</v>
      </c>
      <c r="Z267" s="236">
        <v>12</v>
      </c>
      <c r="AA267" s="236">
        <v>0</v>
      </c>
      <c r="AB267" s="236">
        <v>0</v>
      </c>
      <c r="AC267" s="236">
        <v>0</v>
      </c>
      <c r="AD267" s="236" t="s">
        <v>145</v>
      </c>
      <c r="AE267" s="236">
        <v>0</v>
      </c>
      <c r="AF267" s="236" t="s">
        <v>182</v>
      </c>
      <c r="AG267" s="236">
        <v>1</v>
      </c>
      <c r="AH267" s="236">
        <v>0</v>
      </c>
      <c r="AI267" s="236"/>
      <c r="AJ267" s="236">
        <v>0</v>
      </c>
      <c r="AK267" s="236">
        <v>1</v>
      </c>
      <c r="AL267" s="236">
        <v>1</v>
      </c>
      <c r="AM267" s="236"/>
      <c r="AN267" s="236"/>
      <c r="AO267" s="236"/>
      <c r="AP267" s="236"/>
      <c r="AQ267" s="236" t="s">
        <v>193</v>
      </c>
      <c r="AR267" s="276"/>
      <c r="AS267" s="276"/>
      <c r="AT267" s="276"/>
      <c r="AU267" s="250" t="s">
        <v>1204</v>
      </c>
      <c r="AV267" s="276"/>
      <c r="AW267" s="236"/>
    </row>
    <row r="268" spans="1:49" s="240" customFormat="1" ht="33.75" customHeight="1">
      <c r="A268" s="276" t="s">
        <v>235</v>
      </c>
      <c r="B268" s="276"/>
      <c r="C268" s="276"/>
      <c r="D268" s="276"/>
      <c r="E268" s="197" t="s">
        <v>1205</v>
      </c>
      <c r="F268" s="277" t="s">
        <v>257</v>
      </c>
      <c r="G268" s="276" t="s">
        <v>116</v>
      </c>
      <c r="H268" s="198" t="s">
        <v>258</v>
      </c>
      <c r="I268" s="197" t="s">
        <v>649</v>
      </c>
      <c r="J268" s="276" t="s">
        <v>1206</v>
      </c>
      <c r="K268" s="276">
        <v>400</v>
      </c>
      <c r="L268" s="277" t="s">
        <v>190</v>
      </c>
      <c r="M268" s="197"/>
      <c r="N268" s="197"/>
      <c r="O268" s="197"/>
      <c r="P268" s="276"/>
      <c r="Q268" s="276"/>
      <c r="R268" s="277"/>
      <c r="S268" s="276"/>
      <c r="T268" s="276"/>
      <c r="U268" s="276"/>
      <c r="V268" s="276"/>
      <c r="W268" s="276"/>
      <c r="X268" s="276"/>
      <c r="Y268" s="276"/>
      <c r="Z268" s="276"/>
      <c r="AA268" s="276"/>
      <c r="AB268" s="276"/>
      <c r="AC268" s="276"/>
      <c r="AD268" s="276"/>
      <c r="AE268" s="276"/>
      <c r="AF268" s="276"/>
      <c r="AG268" s="276"/>
      <c r="AH268" s="276"/>
      <c r="AI268" s="276"/>
      <c r="AJ268" s="276"/>
      <c r="AK268" s="276"/>
      <c r="AL268" s="276"/>
      <c r="AM268" s="276"/>
      <c r="AN268" s="276"/>
      <c r="AO268" s="276"/>
      <c r="AP268" s="276"/>
      <c r="AQ268" s="276"/>
      <c r="AR268" s="276"/>
      <c r="AS268" s="276"/>
      <c r="AT268" s="276" t="s">
        <v>180</v>
      </c>
      <c r="AU268" s="197"/>
      <c r="AV268" s="248" t="s">
        <v>651</v>
      </c>
      <c r="AW268" s="236"/>
    </row>
    <row r="269" spans="1:49" s="240" customFormat="1" ht="31.5" customHeight="1">
      <c r="A269" s="276" t="s">
        <v>235</v>
      </c>
      <c r="B269" s="276"/>
      <c r="C269" s="276"/>
      <c r="D269" s="276"/>
      <c r="E269" s="197" t="s">
        <v>1207</v>
      </c>
      <c r="F269" s="277" t="s">
        <v>257</v>
      </c>
      <c r="G269" s="276" t="s">
        <v>116</v>
      </c>
      <c r="H269" s="198" t="s">
        <v>258</v>
      </c>
      <c r="I269" s="197" t="s">
        <v>649</v>
      </c>
      <c r="J269" s="276" t="s">
        <v>1206</v>
      </c>
      <c r="K269" s="276">
        <v>800</v>
      </c>
      <c r="L269" s="277" t="s">
        <v>190</v>
      </c>
      <c r="M269" s="197"/>
      <c r="N269" s="197"/>
      <c r="O269" s="197"/>
      <c r="P269" s="276"/>
      <c r="Q269" s="276"/>
      <c r="R269" s="277"/>
      <c r="S269" s="276"/>
      <c r="T269" s="276"/>
      <c r="U269" s="276"/>
      <c r="V269" s="276"/>
      <c r="W269" s="276"/>
      <c r="X269" s="276"/>
      <c r="Y269" s="276"/>
      <c r="Z269" s="276"/>
      <c r="AA269" s="276"/>
      <c r="AB269" s="276"/>
      <c r="AC269" s="276"/>
      <c r="AD269" s="276"/>
      <c r="AE269" s="276"/>
      <c r="AF269" s="276"/>
      <c r="AG269" s="276"/>
      <c r="AH269" s="276"/>
      <c r="AI269" s="276"/>
      <c r="AJ269" s="276"/>
      <c r="AK269" s="276"/>
      <c r="AL269" s="276"/>
      <c r="AM269" s="276"/>
      <c r="AN269" s="276"/>
      <c r="AO269" s="276"/>
      <c r="AP269" s="276"/>
      <c r="AQ269" s="276"/>
      <c r="AR269" s="276"/>
      <c r="AS269" s="276"/>
      <c r="AT269" s="276" t="s">
        <v>180</v>
      </c>
      <c r="AU269" s="197"/>
      <c r="AV269" s="248" t="s">
        <v>651</v>
      </c>
      <c r="AW269" s="236"/>
    </row>
    <row r="270" spans="1:49" s="240" customFormat="1" ht="30" customHeight="1">
      <c r="A270" s="276" t="s">
        <v>235</v>
      </c>
      <c r="B270" s="276"/>
      <c r="C270" s="276"/>
      <c r="D270" s="276"/>
      <c r="E270" s="197" t="s">
        <v>1208</v>
      </c>
      <c r="F270" s="276" t="s">
        <v>172</v>
      </c>
      <c r="G270" s="276" t="s">
        <v>116</v>
      </c>
      <c r="H270" s="236" t="s">
        <v>270</v>
      </c>
      <c r="I270" s="197" t="s">
        <v>1209</v>
      </c>
      <c r="J270" s="197" t="s">
        <v>807</v>
      </c>
      <c r="K270" s="197">
        <v>22.57</v>
      </c>
      <c r="L270" s="277" t="s">
        <v>190</v>
      </c>
      <c r="M270" s="197">
        <v>1978</v>
      </c>
      <c r="N270" s="197"/>
      <c r="O270" s="197"/>
      <c r="P270" s="276"/>
      <c r="Q270" s="276"/>
      <c r="R270" s="277"/>
      <c r="S270" s="276"/>
      <c r="T270" s="276"/>
      <c r="U270" s="276"/>
      <c r="V270" s="197"/>
      <c r="W270" s="197">
        <v>0</v>
      </c>
      <c r="X270" s="197">
        <v>0</v>
      </c>
      <c r="Y270" s="197">
        <v>0</v>
      </c>
      <c r="Z270" s="197"/>
      <c r="AA270" s="197">
        <v>0</v>
      </c>
      <c r="AB270" s="197">
        <v>0</v>
      </c>
      <c r="AC270" s="197"/>
      <c r="AD270" s="197"/>
      <c r="AE270" s="197"/>
      <c r="AF270" s="197"/>
      <c r="AG270" s="197"/>
      <c r="AH270" s="197"/>
      <c r="AI270" s="197"/>
      <c r="AJ270" s="197"/>
      <c r="AK270" s="197"/>
      <c r="AL270" s="197"/>
      <c r="AM270" s="197"/>
      <c r="AN270" s="197"/>
      <c r="AO270" s="197"/>
      <c r="AP270" s="197"/>
      <c r="AQ270" s="197"/>
      <c r="AR270" s="276"/>
      <c r="AS270" s="276"/>
      <c r="AT270" s="276" t="s">
        <v>180</v>
      </c>
      <c r="AU270" s="197"/>
      <c r="AV270" s="251" t="s">
        <v>651</v>
      </c>
      <c r="AW270" s="236"/>
    </row>
    <row r="271" spans="1:49" s="240" customFormat="1" ht="15" customHeight="1">
      <c r="A271" s="276" t="s">
        <v>235</v>
      </c>
      <c r="B271" s="276"/>
      <c r="C271" s="276"/>
      <c r="D271" s="276"/>
      <c r="E271" s="197" t="s">
        <v>1210</v>
      </c>
      <c r="F271" s="276" t="s">
        <v>172</v>
      </c>
      <c r="G271" s="276" t="s">
        <v>116</v>
      </c>
      <c r="H271" s="236" t="s">
        <v>270</v>
      </c>
      <c r="I271" s="197" t="s">
        <v>1209</v>
      </c>
      <c r="J271" s="197" t="s">
        <v>807</v>
      </c>
      <c r="K271" s="197" t="s">
        <v>368</v>
      </c>
      <c r="L271" s="277" t="s">
        <v>190</v>
      </c>
      <c r="M271" s="197" t="s">
        <v>368</v>
      </c>
      <c r="N271" s="197"/>
      <c r="O271" s="197"/>
      <c r="P271" s="276"/>
      <c r="Q271" s="276"/>
      <c r="R271" s="277"/>
      <c r="S271" s="276"/>
      <c r="T271" s="276"/>
      <c r="U271" s="276"/>
      <c r="V271" s="197"/>
      <c r="W271" s="197">
        <v>0</v>
      </c>
      <c r="X271" s="197">
        <v>0</v>
      </c>
      <c r="Y271" s="197">
        <v>0</v>
      </c>
      <c r="Z271" s="197"/>
      <c r="AA271" s="197">
        <v>0</v>
      </c>
      <c r="AB271" s="197">
        <v>0</v>
      </c>
      <c r="AC271" s="197"/>
      <c r="AD271" s="197"/>
      <c r="AE271" s="197"/>
      <c r="AF271" s="197"/>
      <c r="AG271" s="197"/>
      <c r="AH271" s="197"/>
      <c r="AI271" s="197"/>
      <c r="AJ271" s="197"/>
      <c r="AK271" s="197"/>
      <c r="AL271" s="197"/>
      <c r="AM271" s="197"/>
      <c r="AN271" s="197"/>
      <c r="AO271" s="197"/>
      <c r="AP271" s="197"/>
      <c r="AQ271" s="197"/>
      <c r="AR271" s="276"/>
      <c r="AS271" s="276"/>
      <c r="AT271" s="276"/>
      <c r="AU271" s="197"/>
      <c r="AV271" s="251" t="s">
        <v>651</v>
      </c>
      <c r="AW271" s="236"/>
    </row>
    <row r="272" spans="1:49" s="240" customFormat="1" ht="15" customHeight="1">
      <c r="A272" s="276" t="s">
        <v>235</v>
      </c>
      <c r="B272" s="276"/>
      <c r="C272" s="276"/>
      <c r="D272" s="276"/>
      <c r="E272" s="197" t="s">
        <v>1211</v>
      </c>
      <c r="F272" s="276" t="s">
        <v>172</v>
      </c>
      <c r="G272" s="276" t="s">
        <v>116</v>
      </c>
      <c r="H272" s="236" t="s">
        <v>270</v>
      </c>
      <c r="I272" s="197" t="s">
        <v>1209</v>
      </c>
      <c r="J272" s="197" t="s">
        <v>807</v>
      </c>
      <c r="K272" s="197" t="s">
        <v>368</v>
      </c>
      <c r="L272" s="277" t="s">
        <v>190</v>
      </c>
      <c r="M272" s="197"/>
      <c r="N272" s="197"/>
      <c r="O272" s="197"/>
      <c r="P272" s="276"/>
      <c r="Q272" s="276"/>
      <c r="R272" s="277"/>
      <c r="S272" s="276"/>
      <c r="T272" s="276"/>
      <c r="U272" s="276"/>
      <c r="V272" s="197"/>
      <c r="W272" s="197">
        <v>0</v>
      </c>
      <c r="X272" s="197">
        <v>0</v>
      </c>
      <c r="Y272" s="197">
        <v>0</v>
      </c>
      <c r="Z272" s="197"/>
      <c r="AA272" s="197">
        <v>0</v>
      </c>
      <c r="AB272" s="197">
        <v>0</v>
      </c>
      <c r="AC272" s="197"/>
      <c r="AD272" s="197"/>
      <c r="AE272" s="197"/>
      <c r="AF272" s="197"/>
      <c r="AG272" s="197"/>
      <c r="AH272" s="197"/>
      <c r="AI272" s="197"/>
      <c r="AJ272" s="197"/>
      <c r="AK272" s="197"/>
      <c r="AL272" s="197"/>
      <c r="AM272" s="197"/>
      <c r="AN272" s="197"/>
      <c r="AO272" s="197"/>
      <c r="AP272" s="197"/>
      <c r="AQ272" s="197"/>
      <c r="AR272" s="276"/>
      <c r="AS272" s="276"/>
      <c r="AT272" s="276"/>
      <c r="AU272" s="197"/>
      <c r="AV272" s="251" t="s">
        <v>651</v>
      </c>
      <c r="AW272" s="236"/>
    </row>
    <row r="273" spans="1:49" s="240" customFormat="1" ht="15" customHeight="1">
      <c r="A273" s="276" t="s">
        <v>235</v>
      </c>
      <c r="B273" s="276"/>
      <c r="C273" s="276"/>
      <c r="D273" s="276"/>
      <c r="E273" s="276" t="s">
        <v>1212</v>
      </c>
      <c r="F273" s="277" t="s">
        <v>257</v>
      </c>
      <c r="G273" s="276" t="s">
        <v>116</v>
      </c>
      <c r="H273" s="198" t="s">
        <v>258</v>
      </c>
      <c r="I273" s="276" t="s">
        <v>1213</v>
      </c>
      <c r="J273" s="276" t="s">
        <v>1214</v>
      </c>
      <c r="K273" s="276" t="s">
        <v>368</v>
      </c>
      <c r="L273" s="277" t="s">
        <v>190</v>
      </c>
      <c r="M273" s="276">
        <v>1998</v>
      </c>
      <c r="N273" s="276"/>
      <c r="O273" s="276"/>
      <c r="P273" s="276"/>
      <c r="Q273" s="276"/>
      <c r="R273" s="277"/>
      <c r="S273" s="276"/>
      <c r="T273" s="276"/>
      <c r="U273" s="276"/>
      <c r="V273" s="276"/>
      <c r="W273" s="276"/>
      <c r="X273" s="276"/>
      <c r="Y273" s="276"/>
      <c r="Z273" s="276"/>
      <c r="AA273" s="276"/>
      <c r="AB273" s="276"/>
      <c r="AC273" s="276"/>
      <c r="AD273" s="276"/>
      <c r="AE273" s="276"/>
      <c r="AF273" s="276"/>
      <c r="AG273" s="276"/>
      <c r="AH273" s="276"/>
      <c r="AI273" s="276"/>
      <c r="AJ273" s="276"/>
      <c r="AK273" s="276"/>
      <c r="AL273" s="276"/>
      <c r="AM273" s="276"/>
      <c r="AN273" s="276"/>
      <c r="AO273" s="276"/>
      <c r="AP273" s="276"/>
      <c r="AQ273" s="276"/>
      <c r="AR273" s="276"/>
      <c r="AS273" s="276"/>
      <c r="AT273" s="276"/>
      <c r="AU273" s="276"/>
      <c r="AV273" s="276"/>
      <c r="AW273" s="236"/>
    </row>
    <row r="274" spans="1:49" s="240" customFormat="1" ht="15" customHeight="1">
      <c r="A274" s="276" t="s">
        <v>235</v>
      </c>
      <c r="B274" s="276"/>
      <c r="C274" s="276"/>
      <c r="D274" s="276"/>
      <c r="E274" s="197" t="s">
        <v>1215</v>
      </c>
      <c r="F274" s="276" t="s">
        <v>229</v>
      </c>
      <c r="G274" s="276" t="s">
        <v>116</v>
      </c>
      <c r="H274" s="236" t="s">
        <v>270</v>
      </c>
      <c r="I274" s="197" t="s">
        <v>649</v>
      </c>
      <c r="J274" s="276" t="s">
        <v>1216</v>
      </c>
      <c r="K274" s="276">
        <v>2</v>
      </c>
      <c r="L274" s="277" t="s">
        <v>190</v>
      </c>
      <c r="M274" s="197" t="s">
        <v>368</v>
      </c>
      <c r="N274" s="197"/>
      <c r="O274" s="197"/>
      <c r="P274" s="276"/>
      <c r="Q274" s="276"/>
      <c r="R274" s="277"/>
      <c r="S274" s="276"/>
      <c r="T274" s="276"/>
      <c r="U274" s="276"/>
      <c r="V274" s="276"/>
      <c r="W274" s="276"/>
      <c r="X274" s="276"/>
      <c r="Y274" s="276"/>
      <c r="Z274" s="276"/>
      <c r="AA274" s="276"/>
      <c r="AB274" s="276"/>
      <c r="AC274" s="276"/>
      <c r="AD274" s="276"/>
      <c r="AE274" s="276"/>
      <c r="AF274" s="276"/>
      <c r="AG274" s="276"/>
      <c r="AH274" s="276"/>
      <c r="AI274" s="276"/>
      <c r="AJ274" s="276"/>
      <c r="AK274" s="276"/>
      <c r="AL274" s="276"/>
      <c r="AM274" s="276"/>
      <c r="AN274" s="276"/>
      <c r="AO274" s="276"/>
      <c r="AP274" s="276"/>
      <c r="AQ274" s="276"/>
      <c r="AR274" s="276"/>
      <c r="AS274" s="276"/>
      <c r="AT274" s="276"/>
      <c r="AU274" s="197"/>
      <c r="AV274" s="251" t="s">
        <v>651</v>
      </c>
      <c r="AW274" s="236"/>
    </row>
    <row r="275" spans="1:49" s="240" customFormat="1" ht="15" customHeight="1">
      <c r="A275" s="276" t="s">
        <v>235</v>
      </c>
      <c r="B275" s="276"/>
      <c r="C275" s="276"/>
      <c r="D275" s="276"/>
      <c r="E275" s="276" t="s">
        <v>1217</v>
      </c>
      <c r="F275" s="276" t="s">
        <v>172</v>
      </c>
      <c r="G275" s="276" t="s">
        <v>116</v>
      </c>
      <c r="H275" s="236" t="s">
        <v>270</v>
      </c>
      <c r="I275" s="276" t="s">
        <v>1218</v>
      </c>
      <c r="J275" s="276" t="s">
        <v>1219</v>
      </c>
      <c r="K275" s="276">
        <v>1.7880475</v>
      </c>
      <c r="L275" s="277" t="s">
        <v>190</v>
      </c>
      <c r="M275" s="276">
        <v>2017</v>
      </c>
      <c r="N275" s="276"/>
      <c r="O275" s="276"/>
      <c r="P275" s="276"/>
      <c r="Q275" s="276"/>
      <c r="R275" s="277"/>
      <c r="S275" s="276"/>
      <c r="T275" s="276"/>
      <c r="U275" s="276"/>
      <c r="V275" s="276"/>
      <c r="W275" s="276">
        <v>0</v>
      </c>
      <c r="X275" s="276">
        <v>0</v>
      </c>
      <c r="Y275" s="276">
        <v>0</v>
      </c>
      <c r="Z275" s="276"/>
      <c r="AA275" s="276">
        <v>0</v>
      </c>
      <c r="AB275" s="276">
        <v>0</v>
      </c>
      <c r="AC275" s="276"/>
      <c r="AD275" s="276"/>
      <c r="AE275" s="276"/>
      <c r="AF275" s="276"/>
      <c r="AG275" s="276"/>
      <c r="AH275" s="276"/>
      <c r="AI275" s="276"/>
      <c r="AJ275" s="276"/>
      <c r="AK275" s="276"/>
      <c r="AL275" s="276"/>
      <c r="AM275" s="276"/>
      <c r="AN275" s="276"/>
      <c r="AO275" s="276"/>
      <c r="AP275" s="276"/>
      <c r="AQ275" s="276"/>
      <c r="AR275" s="276"/>
      <c r="AS275" s="276"/>
      <c r="AT275" s="276"/>
      <c r="AU275" s="276"/>
      <c r="AV275" s="276"/>
      <c r="AW275" s="236"/>
    </row>
    <row r="276" spans="1:49" s="240" customFormat="1" ht="15" customHeight="1">
      <c r="A276" s="276" t="s">
        <v>235</v>
      </c>
      <c r="B276" s="276"/>
      <c r="C276" s="276"/>
      <c r="D276" s="276"/>
      <c r="E276" s="276" t="s">
        <v>1220</v>
      </c>
      <c r="F276" s="277" t="s">
        <v>257</v>
      </c>
      <c r="G276" s="276" t="s">
        <v>116</v>
      </c>
      <c r="H276" s="198" t="s">
        <v>258</v>
      </c>
      <c r="I276" s="276" t="s">
        <v>1221</v>
      </c>
      <c r="J276" s="276" t="s">
        <v>1222</v>
      </c>
      <c r="K276" s="276">
        <v>13107.033600000001</v>
      </c>
      <c r="L276" s="277" t="s">
        <v>190</v>
      </c>
      <c r="M276" s="276">
        <v>2015</v>
      </c>
      <c r="N276" s="276"/>
      <c r="O276" s="276"/>
      <c r="P276" s="276"/>
      <c r="Q276" s="276"/>
      <c r="R276" s="277"/>
      <c r="S276" s="276"/>
      <c r="T276" s="276"/>
      <c r="U276" s="276"/>
      <c r="V276" s="276"/>
      <c r="W276" s="276"/>
      <c r="X276" s="276"/>
      <c r="Y276" s="276"/>
      <c r="Z276" s="276"/>
      <c r="AA276" s="276"/>
      <c r="AB276" s="276"/>
      <c r="AC276" s="276"/>
      <c r="AD276" s="276"/>
      <c r="AE276" s="276"/>
      <c r="AF276" s="276"/>
      <c r="AG276" s="276"/>
      <c r="AH276" s="276"/>
      <c r="AI276" s="276"/>
      <c r="AJ276" s="276"/>
      <c r="AK276" s="276"/>
      <c r="AL276" s="276"/>
      <c r="AM276" s="276"/>
      <c r="AN276" s="276"/>
      <c r="AO276" s="276"/>
      <c r="AP276" s="276"/>
      <c r="AQ276" s="276"/>
      <c r="AR276" s="276" t="s">
        <v>319</v>
      </c>
      <c r="AS276" s="276"/>
      <c r="AT276" s="276"/>
      <c r="AU276" s="276"/>
      <c r="AV276" s="276"/>
      <c r="AW276" s="236"/>
    </row>
    <row r="277" spans="1:49" s="240" customFormat="1" ht="15" customHeight="1">
      <c r="A277" s="236" t="s">
        <v>235</v>
      </c>
      <c r="B277" s="236"/>
      <c r="C277" s="236"/>
      <c r="D277" s="236"/>
      <c r="E277" s="202" t="s">
        <v>1223</v>
      </c>
      <c r="F277" s="276" t="s">
        <v>54</v>
      </c>
      <c r="G277" s="276" t="s">
        <v>173</v>
      </c>
      <c r="H277" s="236" t="s">
        <v>270</v>
      </c>
      <c r="I277" s="236" t="s">
        <v>1224</v>
      </c>
      <c r="J277" s="236" t="s">
        <v>1222</v>
      </c>
      <c r="K277" s="199">
        <v>46.65</v>
      </c>
      <c r="L277" s="277" t="s">
        <v>190</v>
      </c>
      <c r="M277" s="197">
        <v>2024</v>
      </c>
      <c r="N277" s="197"/>
      <c r="O277" s="276"/>
      <c r="P277" s="276"/>
      <c r="Q277" s="276"/>
      <c r="R277" s="277"/>
      <c r="S277" s="276"/>
      <c r="T277" s="276"/>
      <c r="U277" s="276"/>
      <c r="V277" s="197"/>
      <c r="W277" s="197"/>
      <c r="X277" s="197"/>
      <c r="Y277" s="197"/>
      <c r="Z277" s="199"/>
      <c r="AA277" s="199"/>
      <c r="AB277" s="199"/>
      <c r="AC277" s="199"/>
      <c r="AD277" s="199"/>
      <c r="AE277" s="199"/>
      <c r="AF277" s="199"/>
      <c r="AG277" s="199"/>
      <c r="AH277" s="199"/>
      <c r="AI277" s="199"/>
      <c r="AJ277" s="199"/>
      <c r="AK277" s="199"/>
      <c r="AL277" s="199"/>
      <c r="AM277" s="199"/>
      <c r="AN277" s="199"/>
      <c r="AO277" s="199"/>
      <c r="AP277" s="199"/>
      <c r="AQ277" s="199"/>
      <c r="AR277" s="236"/>
      <c r="AS277" s="236" t="s">
        <v>193</v>
      </c>
      <c r="AT277" s="236" t="s">
        <v>121</v>
      </c>
      <c r="AU277" s="236"/>
      <c r="AV277" s="236"/>
      <c r="AW277" s="236"/>
    </row>
    <row r="278" spans="1:49" s="240" customFormat="1" ht="15" customHeight="1">
      <c r="A278" s="276" t="s">
        <v>235</v>
      </c>
      <c r="B278" s="276"/>
      <c r="C278" s="276"/>
      <c r="D278" s="276"/>
      <c r="E278" s="276" t="s">
        <v>1225</v>
      </c>
      <c r="F278" s="277" t="s">
        <v>257</v>
      </c>
      <c r="G278" s="276" t="s">
        <v>116</v>
      </c>
      <c r="H278" s="198" t="s">
        <v>258</v>
      </c>
      <c r="I278" s="276" t="s">
        <v>1226</v>
      </c>
      <c r="J278" s="276" t="s">
        <v>1227</v>
      </c>
      <c r="K278" s="276">
        <v>2406.23</v>
      </c>
      <c r="L278" s="277" t="s">
        <v>190</v>
      </c>
      <c r="M278" s="276">
        <v>1998</v>
      </c>
      <c r="N278" s="276"/>
      <c r="O278" s="276"/>
      <c r="P278" s="276"/>
      <c r="Q278" s="276"/>
      <c r="R278" s="277"/>
      <c r="S278" s="276"/>
      <c r="T278" s="276"/>
      <c r="U278" s="276"/>
      <c r="V278" s="276"/>
      <c r="W278" s="276"/>
      <c r="X278" s="276"/>
      <c r="Y278" s="276"/>
      <c r="Z278" s="276"/>
      <c r="AA278" s="276"/>
      <c r="AB278" s="276"/>
      <c r="AC278" s="276"/>
      <c r="AD278" s="276"/>
      <c r="AE278" s="276"/>
      <c r="AF278" s="276"/>
      <c r="AG278" s="276"/>
      <c r="AH278" s="276"/>
      <c r="AI278" s="276"/>
      <c r="AJ278" s="276"/>
      <c r="AK278" s="276"/>
      <c r="AL278" s="276"/>
      <c r="AM278" s="276"/>
      <c r="AN278" s="276"/>
      <c r="AO278" s="276"/>
      <c r="AP278" s="276"/>
      <c r="AQ278" s="276"/>
      <c r="AR278" s="276"/>
      <c r="AS278" s="276"/>
      <c r="AT278" s="276"/>
      <c r="AU278" s="276"/>
      <c r="AV278" s="276"/>
      <c r="AW278" s="236"/>
    </row>
    <row r="279" spans="1:49" s="240" customFormat="1" ht="15" customHeight="1">
      <c r="A279" s="276" t="s">
        <v>169</v>
      </c>
      <c r="B279" s="276"/>
      <c r="C279" s="276"/>
      <c r="D279" s="276"/>
      <c r="E279" s="197" t="s">
        <v>1228</v>
      </c>
      <c r="F279" s="276" t="s">
        <v>279</v>
      </c>
      <c r="G279" s="276" t="s">
        <v>116</v>
      </c>
      <c r="H279" s="236"/>
      <c r="I279" s="207"/>
      <c r="J279" s="276"/>
      <c r="K279" s="276"/>
      <c r="L279" s="276"/>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row>
    <row r="280" spans="1:49" s="240" customFormat="1" ht="15" customHeight="1">
      <c r="A280" s="281" t="s">
        <v>169</v>
      </c>
      <c r="B280" s="281"/>
      <c r="C280" s="281"/>
      <c r="D280" s="281"/>
      <c r="E280" s="242" t="s">
        <v>1229</v>
      </c>
      <c r="F280" s="281"/>
      <c r="G280" s="281" t="s">
        <v>116</v>
      </c>
      <c r="H280" s="243"/>
      <c r="I280" s="230"/>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row>
    <row r="281" spans="1:49" ht="137.25">
      <c r="A281" s="276" t="s">
        <v>169</v>
      </c>
      <c r="B281" s="276"/>
      <c r="C281" s="276"/>
      <c r="D281" s="276"/>
      <c r="E281" s="276" t="s">
        <v>1230</v>
      </c>
      <c r="F281" s="276" t="s">
        <v>279</v>
      </c>
      <c r="G281" s="276" t="s">
        <v>116</v>
      </c>
      <c r="H281" s="276"/>
      <c r="I281" s="207" t="s">
        <v>1231</v>
      </c>
      <c r="J281" s="276" t="s">
        <v>266</v>
      </c>
      <c r="K281" s="282">
        <v>63</v>
      </c>
      <c r="L281" s="276" t="s">
        <v>1232</v>
      </c>
      <c r="M281" s="276">
        <v>2025</v>
      </c>
      <c r="N281" s="276">
        <v>2025</v>
      </c>
      <c r="O281" s="228" t="s">
        <v>1233</v>
      </c>
      <c r="P281" s="276" t="s">
        <v>319</v>
      </c>
      <c r="Q281" s="276" t="s">
        <v>319</v>
      </c>
      <c r="R281" s="276"/>
      <c r="S281" s="276"/>
      <c r="T281" s="276"/>
      <c r="U281" s="276"/>
      <c r="V281" s="276"/>
      <c r="W281" s="276"/>
      <c r="X281" s="276"/>
      <c r="Y281" s="276"/>
      <c r="Z281" s="276"/>
      <c r="AA281" s="276"/>
      <c r="AB281" s="276"/>
      <c r="AC281" s="276"/>
      <c r="AD281" t="s">
        <v>145</v>
      </c>
      <c r="AE281" s="276"/>
      <c r="AF281" s="276" t="s">
        <v>182</v>
      </c>
      <c r="AG281" s="276"/>
      <c r="AH281" s="276"/>
      <c r="AI281" s="276"/>
      <c r="AJ281" s="276"/>
      <c r="AK281" s="276"/>
      <c r="AL281" s="276"/>
      <c r="AM281" s="276"/>
      <c r="AN281" s="276" t="s">
        <v>1234</v>
      </c>
      <c r="AO281" s="276" t="s">
        <v>1234</v>
      </c>
      <c r="AP281" s="276" t="s">
        <v>1234</v>
      </c>
      <c r="AQ281" s="276"/>
      <c r="AR281" s="276"/>
      <c r="AS281" s="276"/>
      <c r="AT281" s="276"/>
      <c r="AU281" s="276"/>
      <c r="AV281" s="276"/>
      <c r="AW281" s="276"/>
    </row>
    <row r="282" spans="1:49">
      <c r="A282" s="276" t="s">
        <v>169</v>
      </c>
      <c r="B282" s="276"/>
      <c r="C282" s="276"/>
      <c r="D282" s="276"/>
      <c r="E282" s="277" t="s">
        <v>1229</v>
      </c>
      <c r="F282" s="277" t="s">
        <v>39</v>
      </c>
      <c r="G282" s="277" t="s">
        <v>116</v>
      </c>
      <c r="H282" s="276" t="s">
        <v>230</v>
      </c>
      <c r="I282" s="276" t="s">
        <v>1235</v>
      </c>
      <c r="J282" s="276" t="s">
        <v>544</v>
      </c>
      <c r="K282" s="282">
        <v>210</v>
      </c>
      <c r="L282" s="276" t="s">
        <v>1232</v>
      </c>
      <c r="M282" s="276">
        <v>2025</v>
      </c>
      <c r="N282" s="276">
        <v>2025</v>
      </c>
      <c r="O282" s="276" t="s">
        <v>1203</v>
      </c>
      <c r="P282" s="276" t="s">
        <v>319</v>
      </c>
      <c r="Q282" s="276" t="s">
        <v>319</v>
      </c>
      <c r="R282" s="276" t="s">
        <v>796</v>
      </c>
      <c r="S282" s="276"/>
      <c r="T282" s="276"/>
      <c r="U282" s="276"/>
      <c r="V282" s="276"/>
      <c r="W282" s="276"/>
      <c r="X282" s="276"/>
      <c r="Y282" s="276"/>
      <c r="Z282" s="276"/>
      <c r="AA282" s="276"/>
      <c r="AB282" s="276"/>
      <c r="AC282" s="276"/>
      <c r="AD282" t="s">
        <v>145</v>
      </c>
      <c r="AE282" s="276"/>
      <c r="AF282" s="276" t="s">
        <v>182</v>
      </c>
      <c r="AG282" s="276"/>
      <c r="AH282" s="276"/>
      <c r="AI282" s="276"/>
      <c r="AJ282" s="276"/>
      <c r="AK282" s="276"/>
      <c r="AL282" s="276"/>
      <c r="AM282" s="276"/>
      <c r="AN282" s="276" t="s">
        <v>1234</v>
      </c>
      <c r="AO282" s="276" t="s">
        <v>1234</v>
      </c>
      <c r="AP282" s="276" t="s">
        <v>1234</v>
      </c>
      <c r="AQ282" s="276"/>
      <c r="AR282" s="276" t="s">
        <v>620</v>
      </c>
      <c r="AS282" s="276" t="s">
        <v>193</v>
      </c>
      <c r="AT282" s="276" t="s">
        <v>180</v>
      </c>
      <c r="AU282" s="208" t="s">
        <v>1236</v>
      </c>
      <c r="AV282" s="276"/>
      <c r="AW282" s="276"/>
    </row>
    <row r="283" spans="1:49" ht="30.75">
      <c r="A283" s="276" t="s">
        <v>169</v>
      </c>
      <c r="B283" s="276"/>
      <c r="C283" s="276" t="s">
        <v>1237</v>
      </c>
      <c r="D283" s="276"/>
      <c r="E283" s="277" t="s">
        <v>1238</v>
      </c>
      <c r="F283" s="277" t="s">
        <v>229</v>
      </c>
      <c r="G283" s="277" t="s">
        <v>116</v>
      </c>
      <c r="H283" s="276" t="s">
        <v>270</v>
      </c>
      <c r="I283" s="276" t="s">
        <v>1239</v>
      </c>
      <c r="J283" s="276" t="s">
        <v>334</v>
      </c>
      <c r="K283" s="282">
        <v>28</v>
      </c>
      <c r="L283" s="276" t="s">
        <v>1232</v>
      </c>
      <c r="M283" s="276">
        <v>2025</v>
      </c>
      <c r="N283" s="276">
        <v>2025</v>
      </c>
      <c r="O283" s="276" t="s">
        <v>1203</v>
      </c>
      <c r="P283" s="276" t="s">
        <v>319</v>
      </c>
      <c r="Q283" s="276" t="s">
        <v>319</v>
      </c>
      <c r="R283" s="277" t="s">
        <v>224</v>
      </c>
      <c r="S283" s="276"/>
      <c r="T283" s="276"/>
      <c r="U283" s="276"/>
      <c r="V283" s="276"/>
      <c r="W283" s="276"/>
      <c r="X283" s="276"/>
      <c r="Y283" s="276"/>
      <c r="Z283" s="276"/>
      <c r="AA283" s="276"/>
      <c r="AB283" s="276"/>
      <c r="AC283" s="276"/>
      <c r="AD283" t="s">
        <v>145</v>
      </c>
      <c r="AE283" s="276"/>
      <c r="AF283" s="276" t="s">
        <v>182</v>
      </c>
      <c r="AG283" s="276"/>
      <c r="AH283" s="276"/>
      <c r="AI283" s="276"/>
      <c r="AJ283" s="276"/>
      <c r="AK283" s="276"/>
      <c r="AL283" s="276"/>
      <c r="AM283" s="276"/>
      <c r="AN283" s="276" t="s">
        <v>1234</v>
      </c>
      <c r="AO283" s="276" t="s">
        <v>1234</v>
      </c>
      <c r="AP283" s="276" t="s">
        <v>1234</v>
      </c>
      <c r="AQ283" s="276"/>
      <c r="AR283" s="276" t="s">
        <v>620</v>
      </c>
      <c r="AS283" s="276" t="s">
        <v>193</v>
      </c>
      <c r="AT283" s="276" t="s">
        <v>319</v>
      </c>
      <c r="AU283" s="208" t="s">
        <v>1240</v>
      </c>
      <c r="AV283" s="276"/>
      <c r="AW283" s="276"/>
    </row>
    <row r="284" spans="1:49" ht="30.75">
      <c r="A284" s="276" t="s">
        <v>169</v>
      </c>
      <c r="B284" s="276"/>
      <c r="C284" s="276" t="s">
        <v>1241</v>
      </c>
      <c r="D284" s="276"/>
      <c r="E284" s="277" t="s">
        <v>1242</v>
      </c>
      <c r="F284" s="277" t="s">
        <v>54</v>
      </c>
      <c r="G284" s="277" t="s">
        <v>220</v>
      </c>
      <c r="H284" s="276" t="s">
        <v>270</v>
      </c>
      <c r="I284" s="276" t="s">
        <v>1243</v>
      </c>
      <c r="J284" s="276" t="s">
        <v>738</v>
      </c>
      <c r="K284" s="282">
        <v>0</v>
      </c>
      <c r="L284" s="276" t="s">
        <v>1232</v>
      </c>
      <c r="M284" s="276">
        <v>2025</v>
      </c>
      <c r="N284" s="276">
        <v>2025</v>
      </c>
      <c r="O284" s="276" t="s">
        <v>1203</v>
      </c>
      <c r="P284" s="276" t="s">
        <v>319</v>
      </c>
      <c r="Q284" s="276" t="s">
        <v>319</v>
      </c>
      <c r="R284" s="277" t="s">
        <v>224</v>
      </c>
      <c r="S284" s="276"/>
      <c r="T284" s="276"/>
      <c r="U284" s="276"/>
      <c r="V284" s="276"/>
      <c r="W284" s="276"/>
      <c r="X284" s="276"/>
      <c r="Y284" s="276"/>
      <c r="Z284" s="276"/>
      <c r="AA284" s="276"/>
      <c r="AB284" s="276"/>
      <c r="AC284" s="276"/>
      <c r="AD284" t="s">
        <v>145</v>
      </c>
      <c r="AE284" s="276"/>
      <c r="AF284" s="276" t="s">
        <v>208</v>
      </c>
      <c r="AG284" s="276"/>
      <c r="AH284" s="276"/>
      <c r="AI284" s="276"/>
      <c r="AJ284" s="276"/>
      <c r="AK284" s="276"/>
      <c r="AL284" s="276"/>
      <c r="AM284" s="276"/>
      <c r="AN284" s="276" t="s">
        <v>1234</v>
      </c>
      <c r="AO284" s="276" t="s">
        <v>1234</v>
      </c>
      <c r="AP284" s="276" t="s">
        <v>1234</v>
      </c>
      <c r="AQ284" s="276"/>
      <c r="AR284" s="276" t="s">
        <v>620</v>
      </c>
      <c r="AS284" s="276" t="s">
        <v>193</v>
      </c>
      <c r="AT284" s="276"/>
      <c r="AU284" s="276"/>
      <c r="AV284" s="276"/>
      <c r="AW284" s="276"/>
    </row>
    <row r="285" spans="1:49" ht="30.75">
      <c r="A285" s="276" t="s">
        <v>169</v>
      </c>
      <c r="B285" s="276"/>
      <c r="C285" s="276" t="s">
        <v>1244</v>
      </c>
      <c r="D285" s="276"/>
      <c r="E285" s="277" t="s">
        <v>1245</v>
      </c>
      <c r="F285" s="277" t="s">
        <v>54</v>
      </c>
      <c r="G285" s="277" t="s">
        <v>220</v>
      </c>
      <c r="H285" s="276" t="s">
        <v>270</v>
      </c>
      <c r="I285" s="276" t="s">
        <v>1246</v>
      </c>
      <c r="J285" s="276" t="s">
        <v>1247</v>
      </c>
      <c r="K285" s="282">
        <v>3</v>
      </c>
      <c r="L285" s="276" t="s">
        <v>1232</v>
      </c>
      <c r="M285" s="276">
        <v>2025</v>
      </c>
      <c r="N285" s="276">
        <v>2025</v>
      </c>
      <c r="O285" s="276" t="s">
        <v>1203</v>
      </c>
      <c r="P285" s="276" t="s">
        <v>319</v>
      </c>
      <c r="Q285" s="276" t="s">
        <v>319</v>
      </c>
      <c r="R285" s="277" t="s">
        <v>224</v>
      </c>
      <c r="S285" s="276"/>
      <c r="T285" s="276"/>
      <c r="U285" s="276"/>
      <c r="V285" s="276"/>
      <c r="W285" s="276"/>
      <c r="X285" s="276"/>
      <c r="Y285" s="276"/>
      <c r="Z285" s="276"/>
      <c r="AA285" s="276"/>
      <c r="AB285" s="276"/>
      <c r="AC285" s="276"/>
      <c r="AD285" t="s">
        <v>145</v>
      </c>
      <c r="AE285" s="276"/>
      <c r="AF285" s="276" t="s">
        <v>208</v>
      </c>
      <c r="AG285" s="276"/>
      <c r="AH285" s="276"/>
      <c r="AI285" s="276"/>
      <c r="AJ285" s="276"/>
      <c r="AK285" s="276"/>
      <c r="AL285" s="276"/>
      <c r="AM285" s="276"/>
      <c r="AN285" s="276" t="s">
        <v>1234</v>
      </c>
      <c r="AO285" s="276" t="s">
        <v>1234</v>
      </c>
      <c r="AP285" s="276" t="s">
        <v>1234</v>
      </c>
      <c r="AQ285" s="276"/>
      <c r="AR285" s="276" t="s">
        <v>620</v>
      </c>
      <c r="AS285" s="276" t="s">
        <v>193</v>
      </c>
      <c r="AT285" s="276"/>
      <c r="AU285" s="208" t="s">
        <v>1248</v>
      </c>
      <c r="AV285" s="276"/>
      <c r="AW285" s="276"/>
    </row>
    <row r="286" spans="1:49" ht="30.75">
      <c r="A286" s="276" t="s">
        <v>169</v>
      </c>
      <c r="B286" s="276"/>
      <c r="C286" s="276" t="s">
        <v>1249</v>
      </c>
      <c r="D286" s="276"/>
      <c r="E286" s="277" t="s">
        <v>1250</v>
      </c>
      <c r="F286" s="277" t="s">
        <v>54</v>
      </c>
      <c r="G286" s="277" t="s">
        <v>220</v>
      </c>
      <c r="H286" s="276" t="s">
        <v>270</v>
      </c>
      <c r="I286" s="276" t="s">
        <v>1251</v>
      </c>
      <c r="J286" s="276" t="s">
        <v>1252</v>
      </c>
      <c r="K286" s="282">
        <v>18</v>
      </c>
      <c r="L286" s="276" t="s">
        <v>1232</v>
      </c>
      <c r="M286" s="276">
        <v>2025</v>
      </c>
      <c r="N286" s="276">
        <v>2025</v>
      </c>
      <c r="O286" s="276" t="s">
        <v>1203</v>
      </c>
      <c r="P286" s="276" t="s">
        <v>319</v>
      </c>
      <c r="Q286" s="276" t="s">
        <v>319</v>
      </c>
      <c r="R286" s="277" t="s">
        <v>224</v>
      </c>
      <c r="S286" s="276"/>
      <c r="T286" s="276"/>
      <c r="U286" s="276"/>
      <c r="V286" s="276"/>
      <c r="W286" s="276"/>
      <c r="X286" s="276"/>
      <c r="Y286" s="276"/>
      <c r="Z286" s="276"/>
      <c r="AA286" s="276"/>
      <c r="AB286" s="276"/>
      <c r="AC286" s="276"/>
      <c r="AD286" t="s">
        <v>145</v>
      </c>
      <c r="AE286" s="276"/>
      <c r="AF286" s="276" t="s">
        <v>208</v>
      </c>
      <c r="AG286" s="276"/>
      <c r="AH286" s="276"/>
      <c r="AI286" s="276"/>
      <c r="AJ286" s="276"/>
      <c r="AK286" s="276"/>
      <c r="AL286" s="276"/>
      <c r="AM286" s="276"/>
      <c r="AN286" s="276" t="s">
        <v>1234</v>
      </c>
      <c r="AO286" s="276" t="s">
        <v>1234</v>
      </c>
      <c r="AP286" s="276" t="s">
        <v>1234</v>
      </c>
      <c r="AQ286" s="276"/>
      <c r="AR286" s="276" t="s">
        <v>620</v>
      </c>
      <c r="AS286" s="276" t="s">
        <v>193</v>
      </c>
      <c r="AT286" s="276"/>
      <c r="AU286" s="208" t="s">
        <v>1253</v>
      </c>
      <c r="AV286" s="276"/>
      <c r="AW286" s="276"/>
    </row>
    <row r="287" spans="1:49" ht="30.75">
      <c r="A287" s="276" t="s">
        <v>169</v>
      </c>
      <c r="B287" s="276"/>
      <c r="C287" s="276" t="s">
        <v>1254</v>
      </c>
      <c r="D287" s="276"/>
      <c r="E287" s="277" t="s">
        <v>1255</v>
      </c>
      <c r="F287" s="277" t="s">
        <v>54</v>
      </c>
      <c r="G287" s="277" t="s">
        <v>220</v>
      </c>
      <c r="H287" s="276" t="s">
        <v>270</v>
      </c>
      <c r="I287" s="276" t="s">
        <v>1256</v>
      </c>
      <c r="J287" s="276" t="s">
        <v>1122</v>
      </c>
      <c r="K287" s="282">
        <v>3</v>
      </c>
      <c r="L287" s="276" t="s">
        <v>1232</v>
      </c>
      <c r="M287" s="276">
        <v>2025</v>
      </c>
      <c r="N287" s="276">
        <v>2025</v>
      </c>
      <c r="O287" s="276" t="s">
        <v>1203</v>
      </c>
      <c r="P287" s="276" t="s">
        <v>319</v>
      </c>
      <c r="Q287" s="276" t="s">
        <v>319</v>
      </c>
      <c r="R287" s="277" t="s">
        <v>224</v>
      </c>
      <c r="S287" s="276"/>
      <c r="T287" s="276"/>
      <c r="U287" s="276"/>
      <c r="V287" s="276"/>
      <c r="W287" s="276"/>
      <c r="X287" s="276"/>
      <c r="Y287" s="276"/>
      <c r="Z287" s="276"/>
      <c r="AA287" s="276"/>
      <c r="AB287" s="276"/>
      <c r="AC287" s="276"/>
      <c r="AD287" t="s">
        <v>145</v>
      </c>
      <c r="AE287" s="276"/>
      <c r="AF287" s="276" t="s">
        <v>208</v>
      </c>
      <c r="AG287" s="276"/>
      <c r="AH287" s="276"/>
      <c r="AI287" s="276"/>
      <c r="AJ287" s="276"/>
      <c r="AK287" s="276"/>
      <c r="AL287" s="276"/>
      <c r="AM287" s="276"/>
      <c r="AN287" s="276" t="s">
        <v>1234</v>
      </c>
      <c r="AO287" s="276" t="s">
        <v>1234</v>
      </c>
      <c r="AP287" s="276" t="s">
        <v>1234</v>
      </c>
      <c r="AQ287" s="276"/>
      <c r="AR287" s="276" t="s">
        <v>620</v>
      </c>
      <c r="AS287" s="276" t="s">
        <v>193</v>
      </c>
      <c r="AT287" s="276"/>
      <c r="AU287" s="208" t="s">
        <v>1257</v>
      </c>
      <c r="AV287" s="276"/>
      <c r="AW287" s="276"/>
    </row>
    <row r="288" spans="1:49" ht="30.75">
      <c r="A288" s="276" t="s">
        <v>169</v>
      </c>
      <c r="B288" s="281"/>
      <c r="C288" s="281" t="s">
        <v>1258</v>
      </c>
      <c r="D288" s="276"/>
      <c r="E288" s="277" t="s">
        <v>1259</v>
      </c>
      <c r="F288" s="277" t="s">
        <v>54</v>
      </c>
      <c r="G288" s="277" t="s">
        <v>220</v>
      </c>
      <c r="H288" s="276" t="s">
        <v>270</v>
      </c>
      <c r="I288" s="276" t="s">
        <v>1260</v>
      </c>
      <c r="J288" s="281" t="s">
        <v>1261</v>
      </c>
      <c r="K288" s="283">
        <v>33</v>
      </c>
      <c r="L288" s="276" t="s">
        <v>1232</v>
      </c>
      <c r="M288" s="276">
        <v>2025</v>
      </c>
      <c r="N288" s="276">
        <v>2025</v>
      </c>
      <c r="O288" s="281" t="s">
        <v>1203</v>
      </c>
      <c r="P288" s="276" t="s">
        <v>319</v>
      </c>
      <c r="Q288" s="276" t="s">
        <v>319</v>
      </c>
      <c r="R288" s="277" t="s">
        <v>224</v>
      </c>
      <c r="S288" s="281"/>
      <c r="T288" s="281"/>
      <c r="U288" s="281"/>
      <c r="V288" s="281"/>
      <c r="W288" s="281"/>
      <c r="X288" s="281"/>
      <c r="Y288" s="281"/>
      <c r="Z288" s="281"/>
      <c r="AA288" s="281"/>
      <c r="AB288" s="281"/>
      <c r="AC288" s="281"/>
      <c r="AD288" t="s">
        <v>145</v>
      </c>
      <c r="AE288" s="281"/>
      <c r="AF288" s="281" t="s">
        <v>208</v>
      </c>
      <c r="AG288" s="281"/>
      <c r="AH288" s="281"/>
      <c r="AI288" s="281"/>
      <c r="AJ288" s="281"/>
      <c r="AK288" s="281"/>
      <c r="AL288" s="281"/>
      <c r="AM288" s="281"/>
      <c r="AN288" s="281" t="s">
        <v>1234</v>
      </c>
      <c r="AO288" s="281" t="s">
        <v>1234</v>
      </c>
      <c r="AP288" s="281" t="s">
        <v>1234</v>
      </c>
      <c r="AQ288" s="281"/>
      <c r="AR288" s="276" t="s">
        <v>620</v>
      </c>
      <c r="AS288" s="276" t="s">
        <v>193</v>
      </c>
      <c r="AT288" s="281"/>
      <c r="AU288" s="252" t="s">
        <v>1262</v>
      </c>
      <c r="AV288" s="281"/>
      <c r="AW288" s="281"/>
    </row>
    <row r="289" spans="1:49" ht="30.75">
      <c r="A289" s="276" t="s">
        <v>169</v>
      </c>
      <c r="B289" s="276"/>
      <c r="C289" t="s">
        <v>1263</v>
      </c>
      <c r="D289" s="276"/>
      <c r="E289" s="277" t="s">
        <v>1264</v>
      </c>
      <c r="F289" s="277" t="s">
        <v>54</v>
      </c>
      <c r="G289" s="277" t="s">
        <v>220</v>
      </c>
      <c r="H289" s="276" t="s">
        <v>270</v>
      </c>
      <c r="I289" s="276" t="s">
        <v>1265</v>
      </c>
      <c r="J289" s="276" t="s">
        <v>710</v>
      </c>
      <c r="K289" s="282">
        <v>6</v>
      </c>
      <c r="L289" s="276" t="s">
        <v>1232</v>
      </c>
      <c r="M289" s="276">
        <v>2025</v>
      </c>
      <c r="N289" s="276">
        <v>2025</v>
      </c>
      <c r="O289" s="276" t="s">
        <v>1203</v>
      </c>
      <c r="P289" s="276" t="s">
        <v>319</v>
      </c>
      <c r="Q289" s="276" t="s">
        <v>319</v>
      </c>
      <c r="R289" s="277" t="s">
        <v>224</v>
      </c>
      <c r="S289" s="276"/>
      <c r="T289" s="276"/>
      <c r="U289" s="276"/>
      <c r="V289" s="276"/>
      <c r="W289" s="276"/>
      <c r="X289" s="276"/>
      <c r="Y289" s="276"/>
      <c r="Z289" s="276"/>
      <c r="AA289" s="276"/>
      <c r="AB289" s="276"/>
      <c r="AC289" s="276"/>
      <c r="AD289" t="s">
        <v>145</v>
      </c>
      <c r="AE289" s="276"/>
      <c r="AF289" s="276" t="s">
        <v>208</v>
      </c>
      <c r="AG289" s="276"/>
      <c r="AH289" s="276"/>
      <c r="AI289" s="276"/>
      <c r="AJ289" s="276"/>
      <c r="AK289" s="276"/>
      <c r="AL289" s="276"/>
      <c r="AM289" s="276"/>
      <c r="AN289" s="276" t="s">
        <v>1234</v>
      </c>
      <c r="AO289" s="276" t="s">
        <v>1234</v>
      </c>
      <c r="AP289" s="276" t="s">
        <v>1234</v>
      </c>
      <c r="AQ289" s="276"/>
      <c r="AR289" s="276" t="s">
        <v>620</v>
      </c>
      <c r="AS289" s="276" t="s">
        <v>193</v>
      </c>
      <c r="AT289" s="276"/>
      <c r="AU289" s="208" t="s">
        <v>1266</v>
      </c>
      <c r="AV289" s="276"/>
      <c r="AW289" s="276"/>
    </row>
    <row r="290" spans="1:49" ht="15" customHeight="1">
      <c r="F290" s="284"/>
      <c r="G290" s="277"/>
      <c r="H290" s="284"/>
      <c r="L290" s="284"/>
      <c r="M290" s="285"/>
      <c r="N290" s="286"/>
      <c r="O290" s="287"/>
      <c r="P290" s="287"/>
      <c r="Q290" s="287"/>
      <c r="R290" s="288"/>
      <c r="S290" s="287"/>
      <c r="T290" s="287"/>
      <c r="U290" s="287"/>
      <c r="V290" s="287"/>
      <c r="W290" s="287"/>
      <c r="X290" s="287"/>
      <c r="Y290" s="287"/>
      <c r="AV290" s="29"/>
    </row>
    <row r="291" spans="1:49" ht="15" customHeight="1">
      <c r="B291"/>
      <c r="C291"/>
      <c r="D291"/>
      <c r="E291"/>
      <c r="F291" s="284"/>
      <c r="G291" s="287"/>
      <c r="H291" s="284"/>
      <c r="L291" s="284"/>
      <c r="M291" s="285"/>
      <c r="N291" s="286"/>
      <c r="O291" s="287"/>
      <c r="P291" s="287"/>
      <c r="Q291" s="287"/>
      <c r="R291" s="288"/>
      <c r="S291" s="287"/>
      <c r="T291" s="287"/>
      <c r="U291" s="287"/>
      <c r="V291" s="287"/>
      <c r="W291" s="287"/>
      <c r="X291" s="287"/>
      <c r="Y291" s="287"/>
      <c r="AV291" s="29"/>
    </row>
    <row r="292" spans="1:49" ht="15" customHeight="1">
      <c r="B292"/>
      <c r="C292"/>
      <c r="D292"/>
      <c r="E292"/>
      <c r="F292" s="284"/>
      <c r="G292" s="287"/>
      <c r="H292" s="284"/>
      <c r="L292" s="284"/>
      <c r="M292" s="285"/>
      <c r="N292" s="286"/>
      <c r="O292" s="287"/>
      <c r="P292" s="287"/>
      <c r="Q292" s="287"/>
      <c r="R292" s="288"/>
      <c r="S292" s="287"/>
      <c r="T292" s="287"/>
      <c r="U292" s="287"/>
      <c r="V292" s="287"/>
      <c r="W292" s="287"/>
      <c r="X292" s="287"/>
      <c r="Y292" s="287"/>
      <c r="AV292" s="29"/>
    </row>
    <row r="293" spans="1:49" ht="15" customHeight="1">
      <c r="B293"/>
      <c r="C293"/>
      <c r="D293"/>
      <c r="E293"/>
      <c r="F293" s="284"/>
      <c r="G293" s="287"/>
      <c r="H293" s="284"/>
      <c r="L293" s="284"/>
      <c r="M293" s="285"/>
      <c r="N293" s="286"/>
      <c r="O293" s="287"/>
      <c r="P293" s="287"/>
      <c r="Q293" s="287"/>
      <c r="R293" s="288"/>
      <c r="S293" s="287"/>
      <c r="T293" s="287"/>
      <c r="U293" s="287"/>
      <c r="V293" s="287"/>
      <c r="W293" s="287"/>
      <c r="X293" s="287"/>
      <c r="Y293" s="287"/>
      <c r="AV293" s="29"/>
    </row>
    <row r="294" spans="1:49" ht="15" customHeight="1">
      <c r="B294"/>
      <c r="C294"/>
      <c r="D294"/>
      <c r="E294"/>
      <c r="F294" s="284"/>
      <c r="G294" s="287"/>
      <c r="H294" s="284"/>
      <c r="L294" s="284"/>
      <c r="M294" s="285"/>
      <c r="N294" s="286"/>
      <c r="O294" s="287"/>
      <c r="P294" s="287"/>
      <c r="Q294" s="287"/>
      <c r="R294" s="288"/>
      <c r="S294" s="287"/>
      <c r="T294" s="287"/>
      <c r="U294" s="287"/>
      <c r="V294" s="287"/>
      <c r="W294" s="287"/>
      <c r="X294" s="287"/>
      <c r="Y294" s="287"/>
      <c r="AV294" s="29"/>
    </row>
    <row r="295" spans="1:49" ht="15" customHeight="1">
      <c r="B295"/>
      <c r="C295"/>
      <c r="D295"/>
      <c r="E295"/>
      <c r="F295" s="284"/>
      <c r="G295" s="287"/>
      <c r="H295" s="284"/>
      <c r="L295" s="284"/>
      <c r="M295" s="285"/>
      <c r="N295" s="286"/>
      <c r="O295" s="287"/>
      <c r="P295" s="287"/>
      <c r="Q295" s="287"/>
      <c r="R295" s="288"/>
      <c r="S295" s="287"/>
      <c r="T295" s="287"/>
      <c r="U295" s="287"/>
      <c r="V295" s="287"/>
      <c r="W295" s="287"/>
      <c r="X295" s="287"/>
      <c r="Y295" s="287"/>
      <c r="AV295" s="29"/>
    </row>
    <row r="296" spans="1:49" ht="15" customHeight="1">
      <c r="B296"/>
      <c r="C296"/>
      <c r="D296"/>
      <c r="E296"/>
      <c r="F296" s="284"/>
      <c r="G296" s="287"/>
      <c r="H296" s="284"/>
      <c r="L296" s="284"/>
      <c r="M296" s="285"/>
      <c r="N296" s="286"/>
      <c r="O296" s="287"/>
      <c r="P296" s="287"/>
      <c r="Q296" s="287"/>
      <c r="R296" s="288"/>
      <c r="S296" s="287"/>
      <c r="T296" s="287"/>
      <c r="U296" s="287"/>
      <c r="V296" s="287"/>
      <c r="W296" s="287"/>
      <c r="X296" s="287"/>
      <c r="Y296" s="287"/>
      <c r="AV296" s="29"/>
    </row>
    <row r="297" spans="1:49" ht="15" customHeight="1">
      <c r="B297"/>
      <c r="C297"/>
      <c r="D297"/>
      <c r="E297"/>
      <c r="F297" s="284"/>
      <c r="G297" s="287"/>
      <c r="H297" s="284"/>
      <c r="L297" s="284"/>
      <c r="M297" s="285"/>
      <c r="N297" s="286"/>
      <c r="O297" s="287"/>
      <c r="P297" s="287"/>
      <c r="Q297" s="287"/>
      <c r="R297" s="288"/>
      <c r="S297" s="287"/>
      <c r="T297" s="287"/>
      <c r="U297" s="287"/>
      <c r="V297" s="287"/>
      <c r="W297" s="287"/>
      <c r="X297" s="287"/>
      <c r="Y297" s="287"/>
      <c r="AV297" s="29"/>
    </row>
    <row r="298" spans="1:49" ht="15" customHeight="1">
      <c r="B298"/>
      <c r="C298"/>
      <c r="D298"/>
      <c r="E298"/>
      <c r="F298" s="284"/>
      <c r="G298" s="287"/>
      <c r="H298" s="284"/>
      <c r="L298" s="284"/>
      <c r="M298" s="285"/>
      <c r="N298" s="286"/>
      <c r="O298" s="287"/>
      <c r="P298" s="287"/>
      <c r="Q298" s="287"/>
      <c r="R298" s="288"/>
      <c r="S298" s="287"/>
      <c r="T298" s="287"/>
      <c r="U298" s="287"/>
      <c r="V298" s="287"/>
      <c r="W298" s="287"/>
      <c r="X298" s="287"/>
      <c r="Y298" s="287"/>
      <c r="AV298" s="29"/>
    </row>
    <row r="299" spans="1:49" ht="15" customHeight="1">
      <c r="F299" s="284"/>
      <c r="G299" s="287"/>
      <c r="H299" s="284"/>
      <c r="L299" s="284"/>
      <c r="M299" s="285"/>
      <c r="N299" s="286"/>
      <c r="O299" s="287"/>
      <c r="P299" s="287"/>
      <c r="Q299" s="287"/>
      <c r="R299" s="288"/>
      <c r="S299" s="287"/>
      <c r="T299" s="287"/>
      <c r="U299" s="287"/>
      <c r="V299" s="287"/>
      <c r="W299" s="287"/>
      <c r="X299" s="287"/>
      <c r="Y299" s="287"/>
      <c r="AV299" s="29"/>
    </row>
    <row r="300" spans="1:49" ht="15" customHeight="1">
      <c r="F300" s="284"/>
      <c r="G300" s="287"/>
      <c r="H300" s="284"/>
      <c r="L300" s="284"/>
      <c r="M300" s="285"/>
      <c r="N300" s="286"/>
      <c r="O300" s="287"/>
      <c r="P300" s="287"/>
      <c r="Q300" s="287"/>
      <c r="R300" s="288"/>
      <c r="S300" s="287"/>
      <c r="T300" s="287"/>
      <c r="U300" s="287"/>
      <c r="V300" s="287"/>
      <c r="W300" s="287"/>
      <c r="X300" s="287"/>
      <c r="Y300" s="287"/>
      <c r="AV300" s="29"/>
    </row>
    <row r="301" spans="1:49" ht="15" customHeight="1">
      <c r="F301" s="284"/>
      <c r="G301" s="287"/>
      <c r="H301" s="284"/>
      <c r="L301" s="284"/>
      <c r="M301" s="285"/>
      <c r="N301" s="286"/>
      <c r="O301" s="287"/>
      <c r="P301" s="287"/>
      <c r="Q301" s="287"/>
      <c r="R301" s="288"/>
      <c r="S301" s="287"/>
      <c r="T301" s="287"/>
      <c r="U301" s="287"/>
      <c r="V301" s="287"/>
      <c r="W301" s="287"/>
      <c r="X301" s="287"/>
      <c r="Y301" s="287"/>
      <c r="AV301" s="29"/>
    </row>
    <row r="302" spans="1:49" ht="15" customHeight="1">
      <c r="F302" s="284"/>
      <c r="G302" s="287"/>
      <c r="H302" s="284"/>
      <c r="L302" s="284"/>
      <c r="M302" s="285"/>
      <c r="N302" s="286"/>
      <c r="O302" s="287"/>
      <c r="P302" s="287"/>
      <c r="Q302" s="287"/>
      <c r="R302" s="288"/>
      <c r="S302" s="287"/>
      <c r="T302" s="287"/>
      <c r="U302" s="287"/>
      <c r="V302" s="287"/>
      <c r="W302" s="287"/>
      <c r="X302" s="287"/>
      <c r="Y302" s="287"/>
      <c r="AV302" s="29"/>
    </row>
    <row r="303" spans="1:49" ht="15" customHeight="1">
      <c r="F303" s="284"/>
      <c r="G303" s="287"/>
      <c r="H303" s="284"/>
      <c r="L303" s="284"/>
      <c r="M303" s="285"/>
      <c r="N303" s="286"/>
      <c r="O303" s="287"/>
      <c r="P303" s="287"/>
      <c r="Q303" s="287"/>
      <c r="R303" s="288"/>
      <c r="S303" s="287"/>
      <c r="T303" s="287"/>
      <c r="U303" s="287"/>
      <c r="V303" s="287"/>
      <c r="W303" s="287"/>
      <c r="X303" s="287"/>
      <c r="Y303" s="287"/>
      <c r="AV303" s="29"/>
    </row>
    <row r="304" spans="1:49" ht="15" customHeight="1">
      <c r="F304" s="284"/>
      <c r="G304" s="287"/>
      <c r="H304" s="284"/>
      <c r="L304" s="284"/>
      <c r="M304" s="285"/>
      <c r="N304" s="286"/>
      <c r="O304" s="287"/>
      <c r="P304" s="287"/>
      <c r="Q304" s="287"/>
      <c r="R304" s="288"/>
      <c r="S304" s="287"/>
      <c r="T304" s="287"/>
      <c r="U304" s="287"/>
      <c r="V304" s="287"/>
      <c r="W304" s="287"/>
      <c r="X304" s="287"/>
      <c r="Y304" s="287"/>
      <c r="AV304" s="29"/>
    </row>
    <row r="305" spans="48:48" ht="15" customHeight="1">
      <c r="AV305" s="29"/>
    </row>
    <row r="306" spans="48:48" ht="15" customHeight="1">
      <c r="AV306" s="29"/>
    </row>
    <row r="307" spans="48:48" ht="15" customHeight="1">
      <c r="AV307" s="29"/>
    </row>
    <row r="308" spans="48:48" ht="15" customHeight="1">
      <c r="AV308" s="29"/>
    </row>
    <row r="309" spans="48:48" ht="15" customHeight="1">
      <c r="AV309" s="29"/>
    </row>
    <row r="310" spans="48:48" ht="15" customHeight="1">
      <c r="AV310" s="29"/>
    </row>
  </sheetData>
  <dataValidations count="1">
    <dataValidation allowBlank="1" showInputMessage="1" showErrorMessage="1" sqref="AU243:AV243 O243 H243:K243" xr:uid="{33C91F47-1632-4EF6-BEFD-9F429CDC9D02}"/>
  </dataValidations>
  <hyperlinks>
    <hyperlink ref="I131" r:id="rId1" xr:uid="{00000000-0004-0000-0000-000000000000}"/>
    <hyperlink ref="I24" r:id="rId2" xr:uid="{00000000-0004-0000-0000-000001000000}"/>
    <hyperlink ref="I59" r:id="rId3" xr:uid="{00000000-0004-0000-0000-000002000000}"/>
    <hyperlink ref="I147" r:id="rId4" xr:uid="{00000000-0004-0000-0000-000004000000}"/>
    <hyperlink ref="I135" r:id="rId5" xr:uid="{00000000-0004-0000-0000-000005000000}"/>
    <hyperlink ref="I127" r:id="rId6" xr:uid="{00000000-0004-0000-0000-000006000000}"/>
    <hyperlink ref="I143" r:id="rId7" xr:uid="{00000000-0004-0000-0000-000007000000}"/>
    <hyperlink ref="I163" r:id="rId8" xr:uid="{00000000-0004-0000-0000-000008000000}"/>
    <hyperlink ref="I141" r:id="rId9" xr:uid="{00000000-0004-0000-0000-000009000000}"/>
    <hyperlink ref="I157" r:id="rId10" xr:uid="{00000000-0004-0000-0000-00000A000000}"/>
    <hyperlink ref="I160" r:id="rId11" xr:uid="{00000000-0004-0000-0000-00000B000000}"/>
    <hyperlink ref="I199" r:id="rId12" xr:uid="{00000000-0004-0000-0000-00000C000000}"/>
    <hyperlink ref="I201" r:id="rId13" xr:uid="{00000000-0004-0000-0000-00000D000000}"/>
    <hyperlink ref="I77" r:id="rId14" xr:uid="{00000000-0004-0000-0000-00000E000000}"/>
    <hyperlink ref="I134" r:id="rId15" xr:uid="{00000000-0004-0000-0000-00000F000000}"/>
    <hyperlink ref="I200" r:id="rId16" xr:uid="{00000000-0004-0000-0000-000010000000}"/>
    <hyperlink ref="AS5" r:id="rId17" xr:uid="{587980AD-985A-4E35-B665-D9D4190BBAE9}"/>
    <hyperlink ref="AV153" r:id="rId18" xr:uid="{D2A9E114-38CE-4C39-9A79-E2083C640D26}"/>
    <hyperlink ref="AV112" r:id="rId19" xr:uid="{EDFA0721-8BA6-454E-A099-1E8B186097E4}"/>
    <hyperlink ref="AV155" r:id="rId20" xr:uid="{35609F35-84B3-4517-8BD4-F14EAA645316}"/>
    <hyperlink ref="AV270" r:id="rId21" xr:uid="{7393571A-81DD-487F-99F9-FB804F84233C}"/>
    <hyperlink ref="AV274" r:id="rId22" xr:uid="{6249C777-6E2D-458E-84BA-554597F51C44}"/>
    <hyperlink ref="AV269" r:id="rId23" xr:uid="{61470F7C-3B35-45EB-B951-BFBBDB1F8303}"/>
    <hyperlink ref="AV272" r:id="rId24" xr:uid="{BBB5B4D7-6811-4373-AB68-E77C633D7B9F}"/>
    <hyperlink ref="AV271" r:id="rId25" xr:uid="{8911E7FD-FC98-4A72-962D-F8821D3D3AD0}"/>
    <hyperlink ref="AV256" r:id="rId26" xr:uid="{CDC66DD2-8630-4254-A9E4-DAA1D5A48ADB}"/>
    <hyperlink ref="AV145" r:id="rId27" xr:uid="{8C5E7B29-368F-4786-AC92-6768A0B707BD}"/>
    <hyperlink ref="AV4" r:id="rId28" xr:uid="{5BD85FC5-4630-47B6-BA4D-BBE52F5F74EC}"/>
    <hyperlink ref="AV195" r:id="rId29" xr:uid="{3F2B9891-A9BD-44B2-BB0D-A90DFBC509C3}"/>
    <hyperlink ref="AU212" r:id="rId30" xr:uid="{D601BD0E-2AA7-45D5-9EAD-0BFD47C339D0}"/>
    <hyperlink ref="AU117" r:id="rId31" xr:uid="{97A8879C-4CC0-4CA3-8014-42DF807DF53F}"/>
    <hyperlink ref="AU55" r:id="rId32" xr:uid="{4B8A5540-142D-408F-A72F-A538D4BE328C}"/>
    <hyperlink ref="AU56" r:id="rId33" xr:uid="{88CCEF38-FDB2-4C6C-BBCA-5854E76EDB5C}"/>
    <hyperlink ref="AU33" r:id="rId34" xr:uid="{3A0C4279-EEF8-4D53-8D18-A9C5E9731BEE}"/>
    <hyperlink ref="AU57" r:id="rId35" xr:uid="{BAD0B32F-C023-494F-BE23-0D9C6DF372D4}"/>
    <hyperlink ref="AU58" r:id="rId36" xr:uid="{F9191FB6-415C-4CB2-BE5D-F2D4598841C4}"/>
    <hyperlink ref="AU234" r:id="rId37" xr:uid="{A7559754-645B-48F1-8171-4086B6AD2819}"/>
    <hyperlink ref="AU49" r:id="rId38" xr:uid="{F7F1AFAA-D8A9-4FDD-B1BC-9C5633A4778D}"/>
    <hyperlink ref="AU95" r:id="rId39" xr:uid="{B6B92C35-97A2-4F54-8EF6-84928EDF3CC2}"/>
    <hyperlink ref="AU156" r:id="rId40" xr:uid="{46280A08-56DA-4CD2-AE39-75A956DDCBC2}"/>
    <hyperlink ref="AU252" r:id="rId41" xr:uid="{676D3323-4207-48F4-BFFB-668559257957}"/>
    <hyperlink ref="AU26" r:id="rId42" display="https://leismunicipais.com.br/a/sc/f/florianopolis/lei-ordinaria/2016/1010/10100/lei-ordinaria-n-10100-2016-altera-a-lei-n-3455-de-1990-definindo-limites-e-categoria-de-manejo-de-unidade-de-conservacao-municipal-revoga-decreto-n-698-de-1994-a-lei-cmf-n-195-de-1997-a-lei-n-6237-de-2013-a-lei-n-6733-de-2005-a-lei-n-9698-de-2014-e-da-outras-providencias" xr:uid="{831FB20B-C77B-47B6-93FF-29D5A56AA2D3}"/>
    <hyperlink ref="AU213" r:id="rId43" xr:uid="{799D03A1-7CEE-4D8F-B7E9-0006E3CC3920}"/>
    <hyperlink ref="AU206" r:id="rId44" xr:uid="{6A93D6AF-41B3-4903-BB2E-DA048D9D2D7D}"/>
    <hyperlink ref="AU114" r:id="rId45" xr:uid="{FF6587C7-9C39-4AFF-B59A-113AF2A8676F}"/>
    <hyperlink ref="AU151" r:id="rId46" xr:uid="{3F9611E3-1E3E-4735-9FDD-999A52518B11}"/>
    <hyperlink ref="AU146" r:id="rId47" xr:uid="{2567F10F-D827-454F-9AB1-9F9B82C98B9B}"/>
    <hyperlink ref="AU101" r:id="rId48" xr:uid="{CD55AD3E-2C0B-4E9C-9634-B7CD793424C5}"/>
    <hyperlink ref="AU180" r:id="rId49" xr:uid="{DCCB3B84-7414-4EEC-A0A4-A79338C35470}"/>
    <hyperlink ref="AU207" r:id="rId50" display="https://leismunicipais.com.br/a/sc/f/florianopolis/lei-ordinaria/2018/1039/10387/lei-ordinaria-n-10387-2018-dispoe-sobre-a-criacao-do-parque-natural-municipal-da-lagoinha-do-leste-nos-termos-do-art-55-da-lei-federal-n-9985-de-2000-que-instituiu-o-sistema-nacional-de-unidades-de-conservacao-da-natureza-snuc-e-da-outras-providencias" xr:uid="{330A26A5-4A2C-40A5-9E76-ECF96F22CBE0}"/>
    <hyperlink ref="AU39" r:id="rId51" xr:uid="{F185B304-7DBB-479F-84E7-F577C0072ADF}"/>
    <hyperlink ref="AU208" r:id="rId52" xr:uid="{261C190A-7FF4-4CB3-A30D-C90F3DEF02F6}"/>
    <hyperlink ref="AU152" r:id="rId53" xr:uid="{F39C9409-14A5-47F5-870B-7645C9B5BAEF}"/>
    <hyperlink ref="AU115" r:id="rId54" xr:uid="{D02AC290-3E53-4CB9-B168-F66B0B900B6C}"/>
    <hyperlink ref="AU209" r:id="rId55" xr:uid="{703F110C-C230-426D-B428-AE98A4DDA352}"/>
    <hyperlink ref="AU243" r:id="rId56" display="https://leismunicipais.com.br/a/sc/f/florianopolis/decreto/2022/2418/24171/decreto-n-24171-2022-dispoe-sobre-a-adequacao-do-parque-municipal-do-manguezal-do-itacorubi-criado-pelo-decreto-n-1529-de-2002-nos-termos-do-art-55-da-lei-federal-n-9985-de-2000-que-instituiu-o-sistema-nacional-de-unidades-de-conservacao-da-natureza-snuc-e-da-outras-providencias" xr:uid="{9B16A0B5-5130-472D-9543-6C6324468146}"/>
    <hyperlink ref="AU170" r:id="rId57" xr:uid="{8DF1B0F1-AE65-4CAE-989B-D623C85F79EE}"/>
    <hyperlink ref="AU153" r:id="rId58" xr:uid="{AF34007E-0FD3-4A87-B40A-955570FF1CC8}"/>
    <hyperlink ref="AU110" r:id="rId59" xr:uid="{200133E1-9F29-4452-92C4-C10B7B1CF684}"/>
    <hyperlink ref="AU51" r:id="rId60" xr:uid="{25CE4D07-4C32-4AA5-A6F2-A3CA3029BC52}"/>
    <hyperlink ref="AU189" r:id="rId61" location=":~:text=%C2%A7%201%C2%BA%20O%20Parque%20Natural,o%20que%20disp%C3%B5e%20a%20Lei" display="https://leismunicipais.com.br/a/sc/f/florianopolis/lei-ordinaria/2016/995/9948/lei-ordinaria-n-9948-2016-dispoe-sobre-a-criacao-da-unidade-de-conservacao-parque-natural-municipal-lagoa-do-jacare-das-dunas-do-santinho#:~:text=%C2%A7%201%C2%BA%20O%20Parque%20Natural,o%20que%20disp%C3%B5e%20a%20Lei." xr:uid="{9F9F218E-E873-4B07-918A-279E886E0768}"/>
    <hyperlink ref="AU4" r:id="rId62" xr:uid="{C78B121F-35B4-461D-AA87-C8CB6FACED05}"/>
    <hyperlink ref="AU124" r:id="rId63" xr:uid="{DC373921-A8B4-4466-9601-5FAEA4760480}"/>
    <hyperlink ref="AU181" r:id="rId64" xr:uid="{7158B007-F9FD-40E1-9171-A48EC7EF5B29}"/>
    <hyperlink ref="AU37" r:id="rId65" xr:uid="{D6AC4D1A-0BD3-46A0-958D-8B0135373A5A}"/>
    <hyperlink ref="AU220" r:id="rId66" display="https://leismunicipais.com.br/a/sc/b/balneario-picarras/lei-ordinaria/2023/94/941/lei-ordinaria-n-941-2023-altera-os-limites-do-parque-natural-municipal-rio-picarras-localizado-no-municipio-de-balneario-picarras-sc-e-criado-pelo-decreto-n-160-de-11-de-dezembro-de-2020" xr:uid="{5AD73D66-D9FB-4B61-9BE0-4B4A71DF1631}"/>
    <hyperlink ref="AU195" r:id="rId67" xr:uid="{2B31CD60-DCEA-4EDA-A3DB-EDC7E6B32C32}"/>
    <hyperlink ref="AU221" r:id="rId68" xr:uid="{BFC82E98-4DE1-4BDD-9A48-3EF205FC96A3}"/>
    <hyperlink ref="AU250" r:id="rId69" xr:uid="{79D509A2-84F6-4DFE-B8B5-2AFE5594B625}"/>
    <hyperlink ref="AU166" r:id="rId70" xr:uid="{1F0C2F3B-62E5-4313-AEE6-D6EA58032E3F}"/>
    <hyperlink ref="AU231" r:id="rId71" xr:uid="{AE90DC2F-66D7-4435-883F-DBA25AF6E457}"/>
    <hyperlink ref="AU232" r:id="rId72" xr:uid="{ADABD2B8-3B4D-4F3B-961C-97ED9CEF3049}"/>
    <hyperlink ref="AU267" r:id="rId73" xr:uid="{40B67C16-67F7-406F-AFC4-0F8DBF5A1BED}"/>
    <hyperlink ref="AU20" r:id="rId74" xr:uid="{7F589F9B-C107-4027-91EA-5398F87345F5}"/>
    <hyperlink ref="AU137" r:id="rId75" display="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xr:uid="{CACFAA1A-0252-427C-A53D-0DB0CB1FA381}"/>
    <hyperlink ref="AU138" r:id="rId76" display="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xr:uid="{A6113ED3-21D4-41C4-AB21-560BC1A72432}"/>
    <hyperlink ref="AU251" r:id="rId77" display="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xr:uid="{C96442EB-AD45-486C-B6B5-79CE7173C6DD}"/>
    <hyperlink ref="AU8" r:id="rId78" display="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xr:uid="{9B68AA39-6F35-4CF3-B45F-2919E0A74932}"/>
    <hyperlink ref="AU107" r:id="rId79" xr:uid="{0EAD3720-013E-40FF-A789-23CC505490BC}"/>
    <hyperlink ref="AU11" r:id="rId80" xr:uid="{9EF2D661-8791-4507-8BAD-7B5A53274273}"/>
    <hyperlink ref="AU93" r:id="rId81" xr:uid="{F944C8DD-2061-4442-B078-E79047AFF939}"/>
    <hyperlink ref="AU113" r:id="rId82" xr:uid="{93641F48-5FB7-4659-B09C-3CB267AA9815}"/>
    <hyperlink ref="AU94" r:id="rId83" xr:uid="{22DE3533-9249-4A6D-A9C2-449FDF790AD3}"/>
    <hyperlink ref="AU100" r:id="rId84" xr:uid="{374C0B95-DCCC-4E6D-9859-C58F55F8F906}"/>
    <hyperlink ref="AU13" r:id="rId85" xr:uid="{CA5863F4-6029-450E-95AA-F4A29C483173}"/>
    <hyperlink ref="AU9" r:id="rId86" xr:uid="{B0FC726D-85B9-48F6-86F4-BED51EA5D048}"/>
    <hyperlink ref="AU214" r:id="rId87" xr:uid="{8B2B0932-777A-4EE0-997A-E0CE2E5633AB}"/>
    <hyperlink ref="AU262" r:id="rId88" xr:uid="{73455CC9-03F0-47EC-A689-ED239E7DD5F0}"/>
    <hyperlink ref="AU194" r:id="rId89" xr:uid="{861D5523-03EE-4844-9EFA-7599E200BAAD}"/>
    <hyperlink ref="AU174" r:id="rId90" xr:uid="{4F83FE64-4250-4703-8AFC-7B39763CDE25}"/>
    <hyperlink ref="AU263" r:id="rId91" xr:uid="{56756816-468D-4B12-B064-E13C50F2893F}"/>
    <hyperlink ref="AU175" r:id="rId92" xr:uid="{A53E0B25-A8F6-4113-884C-0C33F61F9027}"/>
    <hyperlink ref="AU264" r:id="rId93" xr:uid="{FC2E202D-3FCD-426E-9FD6-7DDE93CA150A}"/>
    <hyperlink ref="AU237" r:id="rId94" xr:uid="{6447EDAD-D858-4988-9BF6-422C5CEA384A}"/>
    <hyperlink ref="AU255" r:id="rId95" xr:uid="{349A11D3-92C1-461B-B839-05ECF35BE83B}"/>
    <hyperlink ref="AU227" r:id="rId96" xr:uid="{CB34E61D-65A8-486D-B8C1-0B5FD7D15A0A}"/>
    <hyperlink ref="AU265" r:id="rId97" xr:uid="{24B5B4D4-64A8-4F42-8CB4-C027C8F319AD}"/>
    <hyperlink ref="AU238" r:id="rId98" xr:uid="{9A585EC2-DDC7-410A-8526-2D4D7D687DC7}"/>
    <hyperlink ref="AU239" r:id="rId99" xr:uid="{23725F39-FB90-4A46-A2D7-3309DA6E6D09}"/>
    <hyperlink ref="AU188" r:id="rId100" xr:uid="{2AC4544E-84A7-4670-8ECB-569BF1E262AC}"/>
    <hyperlink ref="AU202" r:id="rId101" xr:uid="{DBD71617-E0E3-4667-B14C-FC1BF393E708}"/>
    <hyperlink ref="AU215" r:id="rId102" xr:uid="{A8C31C1B-C4D9-47EB-A956-140F0BD7F69F}"/>
    <hyperlink ref="AU266" r:id="rId103" xr:uid="{C036E1D4-30B8-46CB-98F4-97862650DAD7}"/>
    <hyperlink ref="AU217" r:id="rId104" xr:uid="{2E8BED18-6956-43F8-842A-E97E6C904F4D}"/>
    <hyperlink ref="AU240" r:id="rId105" xr:uid="{1880C961-7793-4F26-9DF3-7AA662D8B4EB}"/>
    <hyperlink ref="AU203" r:id="rId106" xr:uid="{19151ABE-C135-4E04-B22D-7B390D3BD328}"/>
    <hyperlink ref="AU241" r:id="rId107" xr:uid="{9EB7FC64-375B-45FC-8DE7-0AECF8A2F70F}"/>
    <hyperlink ref="AU164" r:id="rId108" xr:uid="{9979D0D9-1EFB-4BEF-A31A-C6D3558CBA16}"/>
    <hyperlink ref="AU219" r:id="rId109" xr:uid="{059F30AA-A63D-4469-862E-8D0210BC936C}"/>
    <hyperlink ref="AU218" r:id="rId110" xr:uid="{E770E5AB-7A62-4A75-8319-9F374CC82E8A}"/>
    <hyperlink ref="AU179" r:id="rId111" xr:uid="{8CF0DB45-D2EE-44A0-8977-210A8652CCA6}"/>
    <hyperlink ref="AU150" r:id="rId112" xr:uid="{6AF633E9-84AE-4349-9CC4-F6E5A7EE26C2}"/>
    <hyperlink ref="AU178" r:id="rId113" xr:uid="{BF1F7F7D-C47B-47F8-88B4-21AF09188DB1}"/>
    <hyperlink ref="AU165" r:id="rId114" xr:uid="{6F07A944-57CE-4BC6-A836-1C501142FCD4}"/>
    <hyperlink ref="AU193" r:id="rId115" xr:uid="{CEA724E9-4307-485F-A9E2-D62A8E59A7A9}"/>
    <hyperlink ref="AU204" r:id="rId116" xr:uid="{0F377493-FDA8-414D-B002-B83F90D9C952}"/>
    <hyperlink ref="AU242" r:id="rId117" xr:uid="{482B9041-7D05-4130-8351-7DE091F936AF}"/>
    <hyperlink ref="O25" r:id="rId118" xr:uid="{9140C36E-729E-4138-98CE-8EA37599C638}"/>
    <hyperlink ref="AU282" r:id="rId119" xr:uid="{1D584F5D-CA85-4436-B71A-4980898D6512}"/>
    <hyperlink ref="AU283" r:id="rId120" xr:uid="{241F28E8-CCC6-4D5D-B5F6-8358BE0FC02B}"/>
    <hyperlink ref="AU285" r:id="rId121" xr:uid="{F412363A-DF02-4D46-886C-D60AB0781CD0}"/>
    <hyperlink ref="AU286" r:id="rId122" xr:uid="{F65F266D-DE73-4B40-903E-76FAE5CE294E}"/>
    <hyperlink ref="AU287" r:id="rId123" xr:uid="{E2448755-42A4-4D60-B8F7-8B646BF36047}"/>
    <hyperlink ref="AU288" r:id="rId124" xr:uid="{13BEA897-6153-4F41-A87E-0123FA5F1A89}"/>
    <hyperlink ref="AU289" r:id="rId125" xr:uid="{53B4D976-9910-407C-A59B-5F3A69C2FAFA}"/>
  </hyperlinks>
  <pageMargins left="0.511811024" right="0.511811024" top="0.78740157499999996" bottom="0.78740157499999996" header="0.31496062000000002" footer="0.31496062000000002"/>
  <pageSetup paperSize="9" orientation="portrait" r:id="rId126"/>
  <tableParts count="1">
    <tablePart r:id="rId12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5"/>
  <sheetViews>
    <sheetView workbookViewId="0">
      <selection activeCell="A2" sqref="A2"/>
    </sheetView>
  </sheetViews>
  <sheetFormatPr defaultRowHeight="15"/>
  <cols>
    <col min="1" max="1" width="8.85546875" customWidth="1"/>
    <col min="2" max="2" width="10.140625" customWidth="1"/>
    <col min="3" max="3" width="92.5703125" customWidth="1"/>
    <col min="4" max="4" width="18" customWidth="1"/>
    <col min="5" max="5" width="32" customWidth="1"/>
    <col min="6" max="6" width="24" customWidth="1"/>
    <col min="7" max="7" width="7.7109375" customWidth="1"/>
    <col min="8" max="8" width="14.7109375" customWidth="1"/>
    <col min="10" max="10" width="22.42578125" customWidth="1"/>
    <col min="11" max="11" width="32.5703125" customWidth="1"/>
    <col min="12" max="12" width="30.7109375" customWidth="1"/>
  </cols>
  <sheetData>
    <row r="1" spans="1:12" ht="41.25">
      <c r="A1" s="1" t="s">
        <v>1267</v>
      </c>
      <c r="B1" s="1" t="s">
        <v>1268</v>
      </c>
      <c r="C1" s="5" t="s">
        <v>1269</v>
      </c>
      <c r="D1" s="5" t="s">
        <v>1270</v>
      </c>
      <c r="E1" s="5" t="s">
        <v>1271</v>
      </c>
      <c r="F1" s="5" t="s">
        <v>1272</v>
      </c>
      <c r="G1" s="5" t="s">
        <v>1273</v>
      </c>
      <c r="H1" s="5" t="s">
        <v>1274</v>
      </c>
      <c r="I1" s="5" t="s">
        <v>165</v>
      </c>
      <c r="J1" s="2" t="s">
        <v>1275</v>
      </c>
      <c r="K1" s="5" t="s">
        <v>1276</v>
      </c>
      <c r="L1" s="5" t="s">
        <v>1277</v>
      </c>
    </row>
    <row r="2" spans="1:12" ht="114" customHeight="1">
      <c r="A2" s="2" t="s">
        <v>235</v>
      </c>
      <c r="B2" s="2" t="s">
        <v>26</v>
      </c>
      <c r="C2" s="162" t="s">
        <v>1278</v>
      </c>
      <c r="D2" s="171" t="s">
        <v>368</v>
      </c>
      <c r="E2" s="171" t="s">
        <v>649</v>
      </c>
      <c r="F2" s="152" t="s">
        <v>1279</v>
      </c>
      <c r="G2" s="162" t="s">
        <v>368</v>
      </c>
      <c r="H2" s="1"/>
      <c r="I2" s="1"/>
      <c r="J2" s="45" t="s">
        <v>1280</v>
      </c>
      <c r="K2" s="228" t="s">
        <v>1177</v>
      </c>
      <c r="L2" s="229" t="s">
        <v>1281</v>
      </c>
    </row>
    <row r="3" spans="1:12">
      <c r="A3" s="2" t="s">
        <v>235</v>
      </c>
      <c r="B3" s="2" t="s">
        <v>18</v>
      </c>
      <c r="C3" s="2" t="s">
        <v>1282</v>
      </c>
      <c r="D3" s="1">
        <v>1993</v>
      </c>
      <c r="E3" s="1" t="s">
        <v>1283</v>
      </c>
      <c r="F3" s="1" t="s">
        <v>367</v>
      </c>
      <c r="G3" s="2">
        <v>1.87</v>
      </c>
      <c r="H3" s="1"/>
      <c r="I3" s="1"/>
      <c r="J3" s="1"/>
      <c r="L3" t="s">
        <v>1284</v>
      </c>
    </row>
    <row r="4" spans="1:12">
      <c r="A4" s="2" t="s">
        <v>235</v>
      </c>
      <c r="B4" s="2" t="s">
        <v>18</v>
      </c>
      <c r="C4" s="2" t="s">
        <v>1285</v>
      </c>
      <c r="D4" s="1">
        <v>1997</v>
      </c>
      <c r="E4" s="1" t="s">
        <v>1286</v>
      </c>
      <c r="F4" s="1" t="s">
        <v>367</v>
      </c>
      <c r="G4" s="2"/>
      <c r="H4" s="1"/>
      <c r="I4" s="1"/>
      <c r="J4" s="1"/>
      <c r="L4" t="s">
        <v>1284</v>
      </c>
    </row>
    <row r="5" spans="1:12">
      <c r="A5" s="2" t="s">
        <v>235</v>
      </c>
      <c r="B5" s="2" t="s">
        <v>18</v>
      </c>
      <c r="C5" s="2" t="s">
        <v>1287</v>
      </c>
      <c r="D5" s="1">
        <v>1995</v>
      </c>
      <c r="E5" s="122" t="s">
        <v>1288</v>
      </c>
      <c r="F5" s="1" t="s">
        <v>1289</v>
      </c>
      <c r="G5" s="2">
        <v>150</v>
      </c>
      <c r="H5" s="1"/>
      <c r="I5" s="1" t="s">
        <v>180</v>
      </c>
      <c r="J5" s="1"/>
      <c r="L5" t="s">
        <v>1284</v>
      </c>
    </row>
    <row r="6" spans="1:12">
      <c r="A6" s="2" t="s">
        <v>235</v>
      </c>
      <c r="B6" s="2" t="s">
        <v>18</v>
      </c>
      <c r="C6" s="2" t="s">
        <v>1290</v>
      </c>
      <c r="D6" s="1">
        <v>1995</v>
      </c>
      <c r="E6" s="1" t="s">
        <v>1288</v>
      </c>
      <c r="F6" s="1" t="s">
        <v>1289</v>
      </c>
      <c r="G6" s="2">
        <v>52.2</v>
      </c>
      <c r="H6" s="1"/>
      <c r="I6" s="1"/>
      <c r="J6" s="1"/>
      <c r="L6" t="s">
        <v>1284</v>
      </c>
    </row>
    <row r="7" spans="1:12">
      <c r="A7" s="2" t="s">
        <v>235</v>
      </c>
      <c r="B7" s="2" t="s">
        <v>18</v>
      </c>
      <c r="C7" s="2" t="s">
        <v>1291</v>
      </c>
      <c r="D7" s="1">
        <v>1997</v>
      </c>
      <c r="E7" s="1" t="s">
        <v>1292</v>
      </c>
      <c r="F7" s="1" t="s">
        <v>1289</v>
      </c>
      <c r="G7" s="2">
        <v>15.64</v>
      </c>
      <c r="H7" s="1"/>
      <c r="I7" s="1"/>
      <c r="J7" s="1"/>
      <c r="L7" t="s">
        <v>1284</v>
      </c>
    </row>
    <row r="8" spans="1:12">
      <c r="A8" s="2" t="s">
        <v>235</v>
      </c>
      <c r="B8" s="2" t="s">
        <v>18</v>
      </c>
      <c r="C8" s="2" t="s">
        <v>1293</v>
      </c>
      <c r="D8" s="170" t="s">
        <v>368</v>
      </c>
      <c r="E8" s="170" t="s">
        <v>649</v>
      </c>
      <c r="F8" s="1" t="s">
        <v>1294</v>
      </c>
      <c r="G8" s="2">
        <v>2.42</v>
      </c>
      <c r="H8" s="1"/>
      <c r="I8" s="1"/>
      <c r="L8" t="s">
        <v>1284</v>
      </c>
    </row>
    <row r="9" spans="1:12">
      <c r="A9" s="2" t="s">
        <v>235</v>
      </c>
      <c r="B9" s="2" t="s">
        <v>18</v>
      </c>
      <c r="C9" s="2" t="s">
        <v>1295</v>
      </c>
      <c r="D9" s="1">
        <v>2004</v>
      </c>
      <c r="E9" s="1" t="s">
        <v>1296</v>
      </c>
      <c r="F9" s="1" t="s">
        <v>1297</v>
      </c>
      <c r="G9" s="2">
        <v>0.41</v>
      </c>
      <c r="H9" s="1"/>
      <c r="I9" s="1"/>
      <c r="L9" t="s">
        <v>1284</v>
      </c>
    </row>
    <row r="10" spans="1:12">
      <c r="A10" s="2" t="s">
        <v>235</v>
      </c>
      <c r="B10" s="2" t="s">
        <v>18</v>
      </c>
      <c r="C10" s="2" t="s">
        <v>1298</v>
      </c>
      <c r="D10" s="1">
        <v>2004</v>
      </c>
      <c r="E10" s="1" t="s">
        <v>1299</v>
      </c>
      <c r="F10" s="1" t="s">
        <v>1297</v>
      </c>
      <c r="G10" s="2">
        <v>0.27</v>
      </c>
      <c r="H10" s="1"/>
      <c r="I10" s="1"/>
      <c r="J10" t="s">
        <v>1300</v>
      </c>
      <c r="L10" t="s">
        <v>1284</v>
      </c>
    </row>
    <row r="11" spans="1:12">
      <c r="A11" s="2" t="s">
        <v>235</v>
      </c>
      <c r="B11" s="2" t="s">
        <v>18</v>
      </c>
      <c r="C11" s="2" t="s">
        <v>1301</v>
      </c>
      <c r="D11" s="1">
        <v>1975</v>
      </c>
      <c r="E11" s="1" t="s">
        <v>1302</v>
      </c>
      <c r="F11" s="1" t="s">
        <v>574</v>
      </c>
      <c r="G11" s="2">
        <v>7</v>
      </c>
      <c r="H11" s="1"/>
      <c r="I11" s="1"/>
      <c r="J11" s="1"/>
      <c r="L11" t="s">
        <v>1284</v>
      </c>
    </row>
    <row r="12" spans="1:12">
      <c r="A12" s="2" t="s">
        <v>235</v>
      </c>
      <c r="B12" s="2" t="s">
        <v>18</v>
      </c>
      <c r="C12" s="2" t="s">
        <v>1303</v>
      </c>
      <c r="D12" s="1">
        <v>2019</v>
      </c>
      <c r="E12" s="1" t="s">
        <v>1304</v>
      </c>
      <c r="F12" s="1" t="s">
        <v>1305</v>
      </c>
      <c r="G12" s="2"/>
      <c r="H12" s="1"/>
      <c r="I12" s="1"/>
      <c r="J12" s="1"/>
      <c r="L12" t="s">
        <v>1284</v>
      </c>
    </row>
    <row r="13" spans="1:12">
      <c r="A13" s="2" t="s">
        <v>235</v>
      </c>
      <c r="B13" s="2" t="s">
        <v>30</v>
      </c>
      <c r="C13" s="2" t="s">
        <v>1306</v>
      </c>
      <c r="D13" s="1">
        <v>1986</v>
      </c>
      <c r="E13" s="1" t="s">
        <v>1307</v>
      </c>
      <c r="F13" s="1" t="s">
        <v>1289</v>
      </c>
      <c r="G13" s="134">
        <v>967.5</v>
      </c>
      <c r="H13" s="1"/>
      <c r="I13" s="1"/>
      <c r="J13" s="1"/>
      <c r="L13" t="s">
        <v>1284</v>
      </c>
    </row>
    <row r="14" spans="1:12">
      <c r="A14" s="2" t="s">
        <v>235</v>
      </c>
      <c r="B14" s="2" t="s">
        <v>30</v>
      </c>
      <c r="C14" s="2" t="s">
        <v>1308</v>
      </c>
      <c r="D14" s="1">
        <v>1985</v>
      </c>
      <c r="E14" s="1" t="s">
        <v>1309</v>
      </c>
      <c r="F14" s="1" t="s">
        <v>1289</v>
      </c>
      <c r="G14" s="134">
        <v>21.5</v>
      </c>
      <c r="H14" s="1"/>
      <c r="I14" s="1"/>
      <c r="J14" s="1"/>
      <c r="L14" t="s">
        <v>1284</v>
      </c>
    </row>
    <row r="15" spans="1:12">
      <c r="A15" s="2" t="s">
        <v>235</v>
      </c>
      <c r="B15" s="2" t="s">
        <v>30</v>
      </c>
      <c r="C15" s="2" t="s">
        <v>1310</v>
      </c>
      <c r="D15" s="1">
        <v>1985</v>
      </c>
      <c r="E15" s="1" t="s">
        <v>1309</v>
      </c>
      <c r="F15" s="1" t="s">
        <v>1289</v>
      </c>
      <c r="G15" s="134">
        <v>1.3</v>
      </c>
      <c r="H15" s="1"/>
      <c r="I15" s="1"/>
      <c r="J15" s="1"/>
      <c r="L15" t="s">
        <v>1284</v>
      </c>
    </row>
    <row r="16" spans="1:12">
      <c r="A16" s="2" t="s">
        <v>235</v>
      </c>
      <c r="B16" s="2" t="s">
        <v>34</v>
      </c>
      <c r="C16" s="2" t="s">
        <v>1311</v>
      </c>
      <c r="D16" s="1">
        <v>1985</v>
      </c>
      <c r="E16" s="170" t="s">
        <v>1312</v>
      </c>
      <c r="F16" s="1" t="s">
        <v>1289</v>
      </c>
      <c r="G16" s="2">
        <v>170</v>
      </c>
      <c r="H16" s="1"/>
      <c r="I16" s="1"/>
      <c r="J16" s="1"/>
      <c r="L16" t="s">
        <v>1284</v>
      </c>
    </row>
    <row r="17" spans="1:12">
      <c r="A17" s="2" t="s">
        <v>235</v>
      </c>
      <c r="B17" s="2" t="s">
        <v>38</v>
      </c>
      <c r="C17" s="2" t="s">
        <v>1313</v>
      </c>
      <c r="D17" s="166"/>
      <c r="E17" s="166"/>
      <c r="F17" s="1" t="s">
        <v>480</v>
      </c>
      <c r="G17" s="2">
        <v>10</v>
      </c>
      <c r="H17" s="1"/>
      <c r="I17" s="1"/>
      <c r="J17" s="1"/>
      <c r="L17" t="s">
        <v>1284</v>
      </c>
    </row>
    <row r="18" spans="1:12">
      <c r="A18" s="2" t="s">
        <v>235</v>
      </c>
      <c r="B18" s="2" t="s">
        <v>38</v>
      </c>
      <c r="C18" s="2" t="s">
        <v>1314</v>
      </c>
      <c r="D18" s="167"/>
      <c r="E18" s="167"/>
      <c r="F18" s="1" t="s">
        <v>1315</v>
      </c>
      <c r="G18" s="2">
        <v>17</v>
      </c>
      <c r="H18" s="1"/>
      <c r="I18" s="1"/>
      <c r="J18" s="163"/>
      <c r="L18" t="s">
        <v>1284</v>
      </c>
    </row>
    <row r="19" spans="1:12">
      <c r="A19" s="2" t="s">
        <v>235</v>
      </c>
      <c r="B19" s="2" t="s">
        <v>38</v>
      </c>
      <c r="C19" s="2" t="s">
        <v>1316</v>
      </c>
      <c r="D19" s="1">
        <v>1997</v>
      </c>
      <c r="E19" s="184" t="s">
        <v>1317</v>
      </c>
      <c r="F19" s="1" t="s">
        <v>1289</v>
      </c>
      <c r="G19" s="2">
        <v>3.74</v>
      </c>
      <c r="H19" s="1"/>
      <c r="I19" s="1"/>
      <c r="J19" s="1"/>
      <c r="L19" t="s">
        <v>1284</v>
      </c>
    </row>
    <row r="20" spans="1:12">
      <c r="A20" s="2" t="s">
        <v>235</v>
      </c>
      <c r="B20" s="2" t="s">
        <v>38</v>
      </c>
      <c r="C20" s="149" t="s">
        <v>1318</v>
      </c>
      <c r="D20" s="170" t="s">
        <v>368</v>
      </c>
      <c r="E20" s="170" t="s">
        <v>649</v>
      </c>
      <c r="F20" s="170" t="s">
        <v>1319</v>
      </c>
      <c r="G20" s="149" t="s">
        <v>368</v>
      </c>
      <c r="H20" s="1"/>
      <c r="I20" s="1" t="s">
        <v>180</v>
      </c>
      <c r="J20" s="163" t="s">
        <v>651</v>
      </c>
      <c r="L20" t="s">
        <v>1284</v>
      </c>
    </row>
    <row r="21" spans="1:12">
      <c r="A21" s="2" t="s">
        <v>235</v>
      </c>
      <c r="B21" s="2" t="s">
        <v>38</v>
      </c>
      <c r="C21" s="2" t="s">
        <v>1320</v>
      </c>
      <c r="D21" s="166" t="s">
        <v>122</v>
      </c>
      <c r="E21" s="166" t="s">
        <v>122</v>
      </c>
      <c r="F21" s="1" t="s">
        <v>916</v>
      </c>
      <c r="G21" s="2">
        <v>5</v>
      </c>
      <c r="H21" s="1"/>
      <c r="I21" s="1"/>
      <c r="J21" s="1"/>
      <c r="L21" t="s">
        <v>1284</v>
      </c>
    </row>
    <row r="22" spans="1:12">
      <c r="A22" s="2" t="s">
        <v>235</v>
      </c>
      <c r="B22" s="2" t="s">
        <v>38</v>
      </c>
      <c r="C22" s="2" t="s">
        <v>1321</v>
      </c>
      <c r="D22" s="166" t="s">
        <v>122</v>
      </c>
      <c r="E22" s="166" t="s">
        <v>122</v>
      </c>
      <c r="F22" s="1" t="s">
        <v>1297</v>
      </c>
      <c r="G22" s="2"/>
      <c r="H22" s="1"/>
      <c r="I22" s="1"/>
      <c r="L22" t="s">
        <v>1284</v>
      </c>
    </row>
    <row r="23" spans="1:12">
      <c r="A23" s="2" t="s">
        <v>235</v>
      </c>
      <c r="B23" s="2" t="s">
        <v>38</v>
      </c>
      <c r="C23" s="2" t="s">
        <v>1322</v>
      </c>
      <c r="D23" s="166" t="s">
        <v>122</v>
      </c>
      <c r="E23" s="166" t="s">
        <v>122</v>
      </c>
      <c r="F23" s="1" t="s">
        <v>1323</v>
      </c>
      <c r="G23" s="2">
        <v>2</v>
      </c>
      <c r="H23" s="1"/>
      <c r="I23" s="1"/>
      <c r="J23" s="1"/>
      <c r="L23" t="s">
        <v>1284</v>
      </c>
    </row>
    <row r="24" spans="1:12">
      <c r="A24" s="2" t="s">
        <v>235</v>
      </c>
      <c r="B24" s="2" t="s">
        <v>38</v>
      </c>
      <c r="C24" s="2" t="s">
        <v>1324</v>
      </c>
      <c r="D24" s="166" t="s">
        <v>122</v>
      </c>
      <c r="E24" s="166" t="s">
        <v>122</v>
      </c>
      <c r="F24" s="1" t="s">
        <v>1325</v>
      </c>
      <c r="G24" s="2">
        <v>1.9</v>
      </c>
      <c r="H24" s="1"/>
      <c r="I24" s="1"/>
      <c r="J24" s="1"/>
      <c r="L24" t="s">
        <v>1284</v>
      </c>
    </row>
    <row r="25" spans="1:12">
      <c r="A25" s="2" t="s">
        <v>235</v>
      </c>
      <c r="B25" s="2" t="s">
        <v>41</v>
      </c>
      <c r="C25" s="2" t="s">
        <v>1326</v>
      </c>
      <c r="D25" s="1">
        <v>2002</v>
      </c>
      <c r="E25" s="169" t="s">
        <v>1327</v>
      </c>
      <c r="F25" s="1" t="s">
        <v>574</v>
      </c>
      <c r="G25" s="2">
        <v>100</v>
      </c>
      <c r="H25" s="1"/>
      <c r="I25" s="1"/>
      <c r="J25" s="1"/>
      <c r="L25" t="s">
        <v>1284</v>
      </c>
    </row>
    <row r="26" spans="1:12">
      <c r="A26" s="2" t="s">
        <v>235</v>
      </c>
      <c r="B26" s="2" t="s">
        <v>22</v>
      </c>
      <c r="C26" s="2" t="s">
        <v>1328</v>
      </c>
      <c r="D26" s="1">
        <v>1980</v>
      </c>
      <c r="E26" s="1" t="s">
        <v>1329</v>
      </c>
      <c r="F26" s="2" t="s">
        <v>391</v>
      </c>
      <c r="G26" s="2">
        <v>5296</v>
      </c>
      <c r="H26" s="1"/>
      <c r="I26" s="1"/>
      <c r="J26" s="47"/>
      <c r="L26" t="s">
        <v>1284</v>
      </c>
    </row>
    <row r="27" spans="1:12">
      <c r="A27" s="2" t="s">
        <v>235</v>
      </c>
      <c r="B27" s="2" t="s">
        <v>22</v>
      </c>
      <c r="C27" s="2" t="s">
        <v>1330</v>
      </c>
      <c r="D27" s="166" t="s">
        <v>122</v>
      </c>
      <c r="E27" s="166" t="s">
        <v>122</v>
      </c>
      <c r="F27" s="1" t="s">
        <v>391</v>
      </c>
      <c r="G27" s="2">
        <v>500</v>
      </c>
      <c r="H27" s="1"/>
      <c r="I27" s="1"/>
      <c r="J27" s="47"/>
      <c r="L27" t="s">
        <v>1284</v>
      </c>
    </row>
    <row r="28" spans="1:12">
      <c r="A28" s="2" t="s">
        <v>235</v>
      </c>
      <c r="B28" s="2" t="s">
        <v>22</v>
      </c>
      <c r="C28" s="2" t="s">
        <v>1331</v>
      </c>
      <c r="D28" s="166" t="s">
        <v>122</v>
      </c>
      <c r="E28" s="1" t="s">
        <v>1332</v>
      </c>
      <c r="F28" s="1" t="s">
        <v>483</v>
      </c>
      <c r="G28" s="168" t="s">
        <v>122</v>
      </c>
      <c r="H28" s="1"/>
      <c r="I28" s="1"/>
      <c r="L28" t="s">
        <v>1284</v>
      </c>
    </row>
    <row r="29" spans="1:12" ht="16.5" customHeight="1">
      <c r="A29" s="2" t="s">
        <v>235</v>
      </c>
      <c r="B29" s="2" t="s">
        <v>22</v>
      </c>
      <c r="C29" s="2" t="s">
        <v>115</v>
      </c>
      <c r="D29" s="2">
        <v>1993</v>
      </c>
      <c r="E29" s="2" t="s">
        <v>118</v>
      </c>
      <c r="F29" s="1" t="s">
        <v>117</v>
      </c>
      <c r="G29" s="2">
        <v>7.7</v>
      </c>
      <c r="H29" s="1"/>
      <c r="I29" s="1"/>
      <c r="J29" s="1"/>
      <c r="L29" t="s">
        <v>1284</v>
      </c>
    </row>
    <row r="30" spans="1:12">
      <c r="A30" s="2" t="s">
        <v>235</v>
      </c>
      <c r="B30" s="2" t="s">
        <v>22</v>
      </c>
      <c r="C30" s="2" t="s">
        <v>1333</v>
      </c>
      <c r="D30" s="166"/>
      <c r="E30" s="167"/>
      <c r="F30" s="1" t="s">
        <v>1289</v>
      </c>
      <c r="G30" s="2">
        <v>22</v>
      </c>
      <c r="H30" s="1"/>
      <c r="I30" s="1"/>
      <c r="J30" s="1"/>
      <c r="L30" t="s">
        <v>1284</v>
      </c>
    </row>
    <row r="31" spans="1:12">
      <c r="A31" s="2" t="s">
        <v>235</v>
      </c>
      <c r="B31" s="2" t="s">
        <v>22</v>
      </c>
      <c r="C31" s="2" t="s">
        <v>1334</v>
      </c>
      <c r="D31" s="166"/>
      <c r="E31" s="184"/>
      <c r="F31" s="1" t="s">
        <v>1289</v>
      </c>
      <c r="G31" s="2">
        <v>21.48</v>
      </c>
      <c r="H31" s="1"/>
      <c r="I31" s="1"/>
      <c r="J31" s="1"/>
      <c r="L31" t="s">
        <v>1284</v>
      </c>
    </row>
    <row r="32" spans="1:12">
      <c r="A32" s="2" t="s">
        <v>235</v>
      </c>
      <c r="B32" s="2" t="s">
        <v>22</v>
      </c>
      <c r="C32" s="2" t="s">
        <v>1335</v>
      </c>
      <c r="D32" s="1">
        <v>1993</v>
      </c>
      <c r="E32" s="143" t="s">
        <v>1336</v>
      </c>
      <c r="F32" s="1" t="s">
        <v>1337</v>
      </c>
      <c r="G32" s="2">
        <v>7.97</v>
      </c>
      <c r="H32" s="1"/>
      <c r="I32" s="1"/>
      <c r="J32" s="1"/>
      <c r="L32" t="s">
        <v>1284</v>
      </c>
    </row>
    <row r="33" spans="1:12">
      <c r="A33" s="2" t="s">
        <v>235</v>
      </c>
      <c r="B33" s="2" t="s">
        <v>22</v>
      </c>
      <c r="C33" s="2" t="s">
        <v>1338</v>
      </c>
      <c r="D33" s="1">
        <v>2010</v>
      </c>
      <c r="E33" s="143" t="s">
        <v>1339</v>
      </c>
      <c r="F33" s="1" t="s">
        <v>1340</v>
      </c>
      <c r="G33" s="2">
        <v>3.3</v>
      </c>
      <c r="H33" s="1"/>
      <c r="I33" s="1"/>
      <c r="J33" s="1"/>
      <c r="L33" t="s">
        <v>1284</v>
      </c>
    </row>
    <row r="34" spans="1:12">
      <c r="A34" s="2" t="s">
        <v>235</v>
      </c>
      <c r="B34" s="2" t="s">
        <v>22</v>
      </c>
      <c r="C34" s="2" t="s">
        <v>1341</v>
      </c>
      <c r="D34" s="1">
        <v>1992</v>
      </c>
      <c r="E34" s="1" t="s">
        <v>1342</v>
      </c>
      <c r="F34" s="1" t="s">
        <v>574</v>
      </c>
      <c r="G34" s="2">
        <v>1630</v>
      </c>
      <c r="H34" s="1"/>
      <c r="I34" s="1"/>
      <c r="J34" s="1"/>
      <c r="L34" t="s">
        <v>1284</v>
      </c>
    </row>
    <row r="35" spans="1:12">
      <c r="A35" s="2" t="s">
        <v>235</v>
      </c>
      <c r="B35" s="2" t="s">
        <v>22</v>
      </c>
      <c r="C35" s="2" t="s">
        <v>1343</v>
      </c>
      <c r="D35" s="1" t="s">
        <v>122</v>
      </c>
      <c r="E35" s="1" t="s">
        <v>1344</v>
      </c>
      <c r="F35" s="1" t="s">
        <v>1345</v>
      </c>
      <c r="G35" s="2"/>
      <c r="H35" s="1"/>
      <c r="I35" s="1"/>
      <c r="J35" s="1"/>
      <c r="L35" t="s">
        <v>1284</v>
      </c>
    </row>
    <row r="36" spans="1:12" ht="27.75">
      <c r="A36" s="2" t="s">
        <v>235</v>
      </c>
      <c r="B36" s="2" t="s">
        <v>22</v>
      </c>
      <c r="C36" s="2" t="s">
        <v>1346</v>
      </c>
      <c r="D36" s="2">
        <v>1990</v>
      </c>
      <c r="E36" s="22" t="s">
        <v>1347</v>
      </c>
      <c r="F36" s="2" t="s">
        <v>1348</v>
      </c>
      <c r="G36" s="2">
        <v>112</v>
      </c>
      <c r="H36" s="1"/>
      <c r="I36" s="1"/>
      <c r="J36" s="1"/>
      <c r="L36" t="s">
        <v>1284</v>
      </c>
    </row>
    <row r="37" spans="1:12">
      <c r="A37" s="2" t="s">
        <v>235</v>
      </c>
      <c r="B37" s="2" t="s">
        <v>22</v>
      </c>
      <c r="C37" s="2" t="s">
        <v>1349</v>
      </c>
      <c r="D37" s="1">
        <v>2013</v>
      </c>
      <c r="E37" s="1" t="s">
        <v>1350</v>
      </c>
      <c r="F37" s="1" t="s">
        <v>1351</v>
      </c>
      <c r="G37" s="2">
        <v>1.64</v>
      </c>
      <c r="H37" s="1"/>
      <c r="I37" s="1"/>
      <c r="J37" s="1"/>
      <c r="L37" t="s">
        <v>1284</v>
      </c>
    </row>
    <row r="38" spans="1:12">
      <c r="A38" s="2" t="s">
        <v>235</v>
      </c>
      <c r="B38" s="2" t="s">
        <v>22</v>
      </c>
      <c r="C38" s="2" t="s">
        <v>1352</v>
      </c>
      <c r="D38" s="1">
        <v>2016</v>
      </c>
      <c r="E38" s="1" t="s">
        <v>1353</v>
      </c>
      <c r="F38" s="1" t="s">
        <v>1354</v>
      </c>
      <c r="G38" s="2">
        <v>0.64</v>
      </c>
      <c r="H38" s="1"/>
      <c r="I38" s="1"/>
      <c r="J38" s="1"/>
      <c r="L38" t="s">
        <v>1284</v>
      </c>
    </row>
    <row r="39" spans="1:12">
      <c r="A39" s="2" t="s">
        <v>235</v>
      </c>
      <c r="B39" s="2" t="s">
        <v>47</v>
      </c>
      <c r="C39" s="2" t="s">
        <v>1355</v>
      </c>
      <c r="D39" s="166" t="s">
        <v>122</v>
      </c>
      <c r="E39" s="166" t="s">
        <v>122</v>
      </c>
      <c r="F39" s="1" t="s">
        <v>480</v>
      </c>
      <c r="G39" s="2">
        <v>467</v>
      </c>
      <c r="H39" s="1"/>
      <c r="I39" s="1"/>
      <c r="J39" s="1"/>
      <c r="L39" t="s">
        <v>1284</v>
      </c>
    </row>
    <row r="40" spans="1:12">
      <c r="A40" s="2" t="s">
        <v>235</v>
      </c>
      <c r="B40" s="2" t="s">
        <v>47</v>
      </c>
      <c r="C40" s="2" t="s">
        <v>1356</v>
      </c>
      <c r="D40" s="2">
        <v>1962</v>
      </c>
      <c r="E40" s="22" t="s">
        <v>1357</v>
      </c>
      <c r="F40" s="2" t="s">
        <v>1289</v>
      </c>
      <c r="G40" s="2">
        <v>1297</v>
      </c>
      <c r="H40" s="1"/>
      <c r="I40" s="1"/>
      <c r="J40" s="1"/>
      <c r="L40" t="s">
        <v>1284</v>
      </c>
    </row>
    <row r="41" spans="1:12">
      <c r="A41" s="2" t="s">
        <v>235</v>
      </c>
      <c r="B41" s="2" t="s">
        <v>47</v>
      </c>
      <c r="C41" s="2" t="s">
        <v>1358</v>
      </c>
      <c r="D41" s="166" t="s">
        <v>122</v>
      </c>
      <c r="E41" s="166" t="s">
        <v>122</v>
      </c>
      <c r="F41" s="1" t="s">
        <v>706</v>
      </c>
      <c r="G41" s="2">
        <v>220</v>
      </c>
      <c r="H41" s="1"/>
      <c r="I41" s="1"/>
      <c r="J41" s="1"/>
      <c r="L41" t="s">
        <v>1284</v>
      </c>
    </row>
    <row r="42" spans="1:12">
      <c r="A42" s="2" t="s">
        <v>235</v>
      </c>
      <c r="B42" s="2" t="s">
        <v>51</v>
      </c>
      <c r="C42" s="2" t="s">
        <v>1359</v>
      </c>
      <c r="D42" s="1"/>
      <c r="E42" s="1" t="s">
        <v>1360</v>
      </c>
      <c r="F42" s="1" t="s">
        <v>1294</v>
      </c>
      <c r="G42" s="2"/>
      <c r="H42" s="1"/>
      <c r="I42" s="1"/>
      <c r="J42" s="1"/>
      <c r="L42" t="s">
        <v>1284</v>
      </c>
    </row>
    <row r="43" spans="1:12">
      <c r="A43" s="2"/>
      <c r="B43" s="2"/>
      <c r="C43" s="172"/>
      <c r="D43" s="170"/>
      <c r="E43" s="170"/>
      <c r="F43" s="170"/>
      <c r="G43" s="149"/>
      <c r="H43" s="1"/>
      <c r="I43" s="1"/>
      <c r="J43" s="121"/>
      <c r="L43" t="s">
        <v>1284</v>
      </c>
    </row>
    <row r="44" spans="1:12">
      <c r="A44" s="2" t="s">
        <v>235</v>
      </c>
      <c r="B44" s="2" t="s">
        <v>55</v>
      </c>
      <c r="C44" s="2" t="s">
        <v>1361</v>
      </c>
      <c r="D44" s="1">
        <v>2017</v>
      </c>
      <c r="E44" s="1" t="s">
        <v>1362</v>
      </c>
      <c r="F44" s="1" t="s">
        <v>574</v>
      </c>
      <c r="G44" s="2">
        <v>525</v>
      </c>
      <c r="H44" s="1"/>
      <c r="I44" s="1"/>
      <c r="J44" s="1"/>
      <c r="L44" t="s">
        <v>1284</v>
      </c>
    </row>
    <row r="45" spans="1:12">
      <c r="A45" s="2" t="s">
        <v>235</v>
      </c>
      <c r="B45" s="2" t="s">
        <v>55</v>
      </c>
      <c r="C45" s="2" t="s">
        <v>1363</v>
      </c>
      <c r="D45" s="1">
        <v>2014</v>
      </c>
      <c r="E45" s="1" t="s">
        <v>1364</v>
      </c>
      <c r="F45" s="1" t="s">
        <v>1064</v>
      </c>
      <c r="G45" s="2">
        <v>26.01</v>
      </c>
      <c r="H45" s="1"/>
      <c r="I45" s="1"/>
      <c r="J45" s="1"/>
      <c r="L45" t="s">
        <v>1284</v>
      </c>
    </row>
    <row r="46" spans="1:12">
      <c r="A46" s="2" t="s">
        <v>235</v>
      </c>
      <c r="B46" s="2" t="s">
        <v>55</v>
      </c>
      <c r="C46" s="149" t="s">
        <v>1365</v>
      </c>
      <c r="D46" s="173" t="s">
        <v>122</v>
      </c>
      <c r="E46" s="173" t="s">
        <v>122</v>
      </c>
      <c r="F46" s="170" t="s">
        <v>1366</v>
      </c>
      <c r="G46" s="149">
        <v>3.2</v>
      </c>
      <c r="H46" s="1"/>
      <c r="I46" s="1"/>
      <c r="J46" s="1"/>
      <c r="L46" t="s">
        <v>1284</v>
      </c>
    </row>
    <row r="47" spans="1:12">
      <c r="A47" s="2" t="s">
        <v>235</v>
      </c>
      <c r="B47" s="2" t="s">
        <v>58</v>
      </c>
      <c r="C47" s="149" t="s">
        <v>1367</v>
      </c>
      <c r="D47" s="170" t="s">
        <v>368</v>
      </c>
      <c r="E47" s="170" t="s">
        <v>649</v>
      </c>
      <c r="F47" s="170" t="s">
        <v>483</v>
      </c>
      <c r="G47" s="149">
        <v>2.5</v>
      </c>
      <c r="H47" s="1"/>
      <c r="I47" s="1" t="s">
        <v>180</v>
      </c>
      <c r="L47" t="s">
        <v>1284</v>
      </c>
    </row>
    <row r="48" spans="1:12">
      <c r="A48" s="2" t="s">
        <v>235</v>
      </c>
      <c r="B48" s="2" t="s">
        <v>10</v>
      </c>
      <c r="C48" s="2" t="s">
        <v>1368</v>
      </c>
      <c r="D48" s="166" t="s">
        <v>122</v>
      </c>
      <c r="E48" s="166" t="s">
        <v>122</v>
      </c>
      <c r="F48" s="1" t="s">
        <v>1369</v>
      </c>
      <c r="G48" s="2">
        <v>1000</v>
      </c>
      <c r="H48" s="1"/>
      <c r="I48" s="1"/>
      <c r="J48" s="1"/>
      <c r="L48" t="s">
        <v>1284</v>
      </c>
    </row>
    <row r="49" spans="1:12">
      <c r="A49" s="2" t="s">
        <v>235</v>
      </c>
      <c r="B49" s="2" t="s">
        <v>10</v>
      </c>
      <c r="C49" s="2" t="s">
        <v>1370</v>
      </c>
      <c r="D49" s="166" t="s">
        <v>122</v>
      </c>
      <c r="E49" s="166" t="s">
        <v>122</v>
      </c>
      <c r="F49" s="1" t="s">
        <v>1371</v>
      </c>
      <c r="G49" s="2">
        <v>900</v>
      </c>
      <c r="H49" s="1"/>
      <c r="I49" s="1"/>
      <c r="J49" s="1"/>
      <c r="L49" t="s">
        <v>1284</v>
      </c>
    </row>
    <row r="50" spans="1:12">
      <c r="A50" s="2" t="s">
        <v>235</v>
      </c>
      <c r="B50" s="2" t="s">
        <v>14</v>
      </c>
      <c r="C50" s="2" t="s">
        <v>1372</v>
      </c>
      <c r="D50" s="166" t="s">
        <v>122</v>
      </c>
      <c r="E50" s="166" t="s">
        <v>122</v>
      </c>
      <c r="F50" s="1" t="s">
        <v>1369</v>
      </c>
      <c r="G50" s="2">
        <v>270</v>
      </c>
      <c r="H50" s="1"/>
      <c r="I50" s="1"/>
      <c r="J50" s="1"/>
      <c r="L50" t="s">
        <v>1284</v>
      </c>
    </row>
    <row r="51" spans="1:12">
      <c r="A51" s="2" t="s">
        <v>235</v>
      </c>
      <c r="B51" s="2" t="s">
        <v>14</v>
      </c>
      <c r="C51" s="2" t="s">
        <v>1373</v>
      </c>
      <c r="D51" s="1">
        <v>1989</v>
      </c>
      <c r="E51" s="1" t="s">
        <v>1374</v>
      </c>
      <c r="F51" s="1" t="s">
        <v>460</v>
      </c>
      <c r="G51" s="2" t="s">
        <v>368</v>
      </c>
      <c r="H51" s="1"/>
      <c r="I51" s="1"/>
      <c r="J51" s="1"/>
      <c r="L51" t="s">
        <v>1284</v>
      </c>
    </row>
    <row r="52" spans="1:12">
      <c r="A52" s="2" t="s">
        <v>235</v>
      </c>
      <c r="B52" s="2" t="s">
        <v>14</v>
      </c>
      <c r="C52" s="2" t="s">
        <v>1375</v>
      </c>
      <c r="D52" s="166" t="s">
        <v>122</v>
      </c>
      <c r="E52" s="166" t="s">
        <v>122</v>
      </c>
      <c r="F52" s="1" t="s">
        <v>1159</v>
      </c>
      <c r="G52" s="2">
        <v>278</v>
      </c>
      <c r="H52" s="1"/>
      <c r="I52" s="1"/>
      <c r="J52" s="1"/>
      <c r="L52" t="s">
        <v>1284</v>
      </c>
    </row>
    <row r="53" spans="1:12">
      <c r="A53" s="2" t="s">
        <v>235</v>
      </c>
      <c r="B53" s="2" t="s">
        <v>14</v>
      </c>
      <c r="C53" s="2" t="s">
        <v>1376</v>
      </c>
      <c r="D53" s="1" t="s">
        <v>122</v>
      </c>
      <c r="E53" s="1" t="s">
        <v>122</v>
      </c>
      <c r="F53" s="1" t="s">
        <v>1377</v>
      </c>
      <c r="G53" s="2">
        <v>1800</v>
      </c>
      <c r="H53" s="1"/>
      <c r="I53" s="1"/>
      <c r="L53" t="s">
        <v>1284</v>
      </c>
    </row>
    <row r="54" spans="1:12">
      <c r="A54" s="2" t="s">
        <v>235</v>
      </c>
      <c r="B54" s="2" t="s">
        <v>62</v>
      </c>
      <c r="C54" s="2" t="s">
        <v>1378</v>
      </c>
      <c r="D54" s="1">
        <v>1975</v>
      </c>
      <c r="E54" s="1" t="s">
        <v>1379</v>
      </c>
      <c r="F54" s="1" t="s">
        <v>391</v>
      </c>
      <c r="G54" s="2">
        <v>453.5</v>
      </c>
      <c r="H54" s="1"/>
      <c r="I54" s="1"/>
      <c r="J54" s="1"/>
      <c r="L54" t="s">
        <v>1284</v>
      </c>
    </row>
    <row r="55" spans="1:12">
      <c r="A55" s="2" t="s">
        <v>235</v>
      </c>
      <c r="B55" s="2" t="s">
        <v>62</v>
      </c>
      <c r="C55" s="2" t="s">
        <v>1380</v>
      </c>
      <c r="D55" s="167" t="s">
        <v>122</v>
      </c>
      <c r="E55" s="167" t="s">
        <v>122</v>
      </c>
      <c r="F55" s="1" t="s">
        <v>1319</v>
      </c>
      <c r="G55" s="2">
        <v>12</v>
      </c>
      <c r="H55" s="1"/>
      <c r="I55" s="1"/>
      <c r="J55" s="163"/>
      <c r="L55" t="s">
        <v>1284</v>
      </c>
    </row>
    <row r="56" spans="1:12">
      <c r="A56" s="2" t="s">
        <v>235</v>
      </c>
      <c r="B56" s="2" t="s">
        <v>62</v>
      </c>
      <c r="C56" s="2" t="s">
        <v>1381</v>
      </c>
      <c r="D56" s="1">
        <v>1970</v>
      </c>
      <c r="E56" s="166" t="s">
        <v>122</v>
      </c>
      <c r="F56" s="1" t="s">
        <v>1216</v>
      </c>
      <c r="G56" s="2">
        <v>18</v>
      </c>
      <c r="H56" s="1"/>
      <c r="I56" s="1"/>
      <c r="L56" t="s">
        <v>1284</v>
      </c>
    </row>
    <row r="57" spans="1:12">
      <c r="A57" s="2"/>
      <c r="B57" s="2" t="s">
        <v>62</v>
      </c>
      <c r="C57" s="2" t="s">
        <v>1382</v>
      </c>
      <c r="D57" s="1"/>
      <c r="E57" s="1"/>
      <c r="F57" s="1" t="s">
        <v>1383</v>
      </c>
      <c r="G57" s="2">
        <v>1157.48</v>
      </c>
      <c r="H57" s="1"/>
      <c r="I57" s="1"/>
      <c r="J57" s="1"/>
      <c r="L57" t="s">
        <v>1284</v>
      </c>
    </row>
    <row r="58" spans="1:12">
      <c r="A58" s="2" t="s">
        <v>235</v>
      </c>
      <c r="B58" s="2" t="s">
        <v>66</v>
      </c>
      <c r="C58" s="2" t="s">
        <v>1384</v>
      </c>
      <c r="D58" s="166" t="s">
        <v>122</v>
      </c>
      <c r="E58" s="166" t="s">
        <v>122</v>
      </c>
      <c r="F58" s="1" t="s">
        <v>703</v>
      </c>
      <c r="G58" s="2">
        <v>13186</v>
      </c>
      <c r="H58" s="1"/>
      <c r="I58" s="1"/>
      <c r="J58" s="1"/>
      <c r="L58" t="s">
        <v>1284</v>
      </c>
    </row>
    <row r="59" spans="1:12">
      <c r="A59" s="2" t="s">
        <v>235</v>
      </c>
      <c r="B59" s="2" t="s">
        <v>66</v>
      </c>
      <c r="C59" s="2" t="s">
        <v>1385</v>
      </c>
      <c r="D59" s="166" t="s">
        <v>122</v>
      </c>
      <c r="E59" s="166" t="s">
        <v>122</v>
      </c>
      <c r="F59" s="1" t="s">
        <v>1386</v>
      </c>
      <c r="G59" s="2">
        <v>7</v>
      </c>
      <c r="H59" s="1"/>
      <c r="I59" s="1"/>
      <c r="J59" s="1"/>
      <c r="L59" t="s">
        <v>1284</v>
      </c>
    </row>
    <row r="60" spans="1:12">
      <c r="A60" s="2" t="s">
        <v>235</v>
      </c>
      <c r="B60" s="2" t="s">
        <v>66</v>
      </c>
      <c r="C60" s="2" t="s">
        <v>1387</v>
      </c>
      <c r="D60" s="166" t="s">
        <v>122</v>
      </c>
      <c r="E60" s="166" t="s">
        <v>122</v>
      </c>
      <c r="F60" s="1" t="s">
        <v>483</v>
      </c>
      <c r="G60" s="2">
        <v>300</v>
      </c>
      <c r="H60" s="1"/>
      <c r="I60" s="1"/>
      <c r="J60" s="1"/>
      <c r="L60" t="s">
        <v>1284</v>
      </c>
    </row>
    <row r="61" spans="1:12">
      <c r="A61" s="2"/>
      <c r="B61" s="2" t="s">
        <v>66</v>
      </c>
      <c r="C61" s="2" t="s">
        <v>1388</v>
      </c>
      <c r="D61" s="1"/>
      <c r="E61" s="1"/>
      <c r="F61" s="1" t="s">
        <v>1383</v>
      </c>
      <c r="G61" s="2"/>
      <c r="H61" s="1"/>
      <c r="I61" s="1"/>
      <c r="J61" s="1"/>
      <c r="L61" t="s">
        <v>1284</v>
      </c>
    </row>
    <row r="62" spans="1:12">
      <c r="A62" s="2" t="s">
        <v>235</v>
      </c>
      <c r="B62" s="2" t="s">
        <v>74</v>
      </c>
      <c r="C62" s="2" t="s">
        <v>1389</v>
      </c>
      <c r="D62" s="1">
        <v>1985</v>
      </c>
      <c r="E62" s="145" t="s">
        <v>1390</v>
      </c>
      <c r="F62" s="145" t="s">
        <v>1289</v>
      </c>
      <c r="G62" s="2">
        <v>491.5</v>
      </c>
      <c r="H62" s="1"/>
      <c r="I62" s="1"/>
      <c r="J62" s="1"/>
      <c r="L62" t="s">
        <v>1284</v>
      </c>
    </row>
    <row r="63" spans="1:12">
      <c r="A63" s="2" t="s">
        <v>235</v>
      </c>
      <c r="B63" s="2" t="s">
        <v>77</v>
      </c>
      <c r="C63" s="172" t="s">
        <v>1391</v>
      </c>
      <c r="D63" s="1">
        <v>2000</v>
      </c>
      <c r="E63" s="145" t="s">
        <v>1392</v>
      </c>
      <c r="F63" s="145" t="s">
        <v>1016</v>
      </c>
      <c r="G63" s="2">
        <v>32.15</v>
      </c>
      <c r="H63" s="1"/>
      <c r="I63" s="1"/>
      <c r="J63" s="1"/>
      <c r="L63" t="s">
        <v>1284</v>
      </c>
    </row>
    <row r="64" spans="1:12">
      <c r="A64" s="2"/>
      <c r="B64" s="2"/>
      <c r="C64" s="2"/>
      <c r="E64" s="289"/>
      <c r="F64" s="289"/>
      <c r="G64" s="2"/>
      <c r="H64" s="1"/>
      <c r="I64" s="1"/>
      <c r="L64" t="s">
        <v>1284</v>
      </c>
    </row>
    <row r="65" spans="3:4">
      <c r="C65" s="174" t="s">
        <v>1393</v>
      </c>
      <c r="D65" s="175" t="s">
        <v>1394</v>
      </c>
    </row>
  </sheetData>
  <hyperlinks>
    <hyperlink ref="J20" r:id="rId1" xr:uid="{00000000-0004-0000-0300-000000000000}"/>
    <hyperlink ref="C65" r:id="rId2" xr:uid="{00000000-0004-0000-0300-000002000000}"/>
  </hyperlinks>
  <pageMargins left="0.7" right="0.7" top="0.75" bottom="0.75" header="0.3" footer="0.3"/>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4"/>
  <sheetViews>
    <sheetView workbookViewId="0">
      <selection activeCell="A44" sqref="A44"/>
    </sheetView>
  </sheetViews>
  <sheetFormatPr defaultRowHeight="15"/>
  <cols>
    <col min="1" max="1" width="54.140625" style="1" customWidth="1"/>
    <col min="2" max="2" width="21.42578125" style="1" customWidth="1"/>
    <col min="3" max="3" width="9.140625" style="1"/>
    <col min="4" max="4" width="29.28515625" style="1" customWidth="1"/>
    <col min="5" max="5" width="15.140625" bestFit="1" customWidth="1"/>
  </cols>
  <sheetData>
    <row r="1" spans="1:7">
      <c r="A1" s="4" t="s">
        <v>1395</v>
      </c>
      <c r="B1" s="4" t="s">
        <v>1271</v>
      </c>
      <c r="C1" s="4" t="s">
        <v>1396</v>
      </c>
      <c r="D1" s="4" t="s">
        <v>1397</v>
      </c>
      <c r="E1" t="s">
        <v>1275</v>
      </c>
    </row>
    <row r="2" spans="1:7">
      <c r="A2" s="122" t="s">
        <v>1398</v>
      </c>
      <c r="B2" s="1" t="s">
        <v>1399</v>
      </c>
      <c r="C2" s="1">
        <v>165</v>
      </c>
      <c r="D2" s="1" t="s">
        <v>1400</v>
      </c>
    </row>
    <row r="3" spans="1:7">
      <c r="A3" s="23" t="s">
        <v>1401</v>
      </c>
      <c r="B3" s="1" t="s">
        <v>1402</v>
      </c>
      <c r="D3" s="1" t="s">
        <v>1403</v>
      </c>
      <c r="G3" s="157" t="s">
        <v>1404</v>
      </c>
    </row>
    <row r="4" spans="1:7">
      <c r="A4" s="155" t="s">
        <v>1405</v>
      </c>
      <c r="B4" s="1" t="s">
        <v>1406</v>
      </c>
      <c r="C4" s="1">
        <v>501</v>
      </c>
      <c r="D4" s="1" t="s">
        <v>1403</v>
      </c>
    </row>
    <row r="5" spans="1:7" ht="27.75">
      <c r="A5" s="156" t="s">
        <v>1407</v>
      </c>
      <c r="B5" s="22" t="s">
        <v>1408</v>
      </c>
      <c r="C5" s="2" t="s">
        <v>1409</v>
      </c>
      <c r="D5" s="2" t="s">
        <v>1410</v>
      </c>
    </row>
    <row r="6" spans="1:7">
      <c r="A6" s="160" t="s">
        <v>1411</v>
      </c>
      <c r="B6" s="161" t="s">
        <v>1412</v>
      </c>
      <c r="C6" s="161">
        <v>0</v>
      </c>
    </row>
    <row r="7" spans="1:7">
      <c r="A7" s="120" t="s">
        <v>1413</v>
      </c>
      <c r="B7" s="2" t="s">
        <v>1406</v>
      </c>
      <c r="C7" s="2">
        <v>80</v>
      </c>
      <c r="D7" s="2" t="s">
        <v>1371</v>
      </c>
    </row>
    <row r="8" spans="1:7" ht="54.75">
      <c r="A8" s="123" t="s">
        <v>1414</v>
      </c>
      <c r="B8" s="158" t="s">
        <v>1415</v>
      </c>
      <c r="C8" s="159"/>
      <c r="D8" s="2" t="s">
        <v>1416</v>
      </c>
    </row>
    <row r="9" spans="1:7">
      <c r="A9" s="23" t="s">
        <v>1417</v>
      </c>
      <c r="B9" s="1" t="s">
        <v>1406</v>
      </c>
      <c r="C9" s="1">
        <v>207</v>
      </c>
      <c r="D9" s="1" t="s">
        <v>1418</v>
      </c>
    </row>
    <row r="10" spans="1:7" ht="27.75">
      <c r="A10" s="156" t="s">
        <v>1419</v>
      </c>
      <c r="B10" s="22" t="s">
        <v>1420</v>
      </c>
      <c r="C10" s="148">
        <v>23024</v>
      </c>
      <c r="D10" s="22" t="s">
        <v>1421</v>
      </c>
    </row>
    <row r="11" spans="1:7">
      <c r="A11" s="23" t="s">
        <v>1422</v>
      </c>
      <c r="B11" s="115" t="s">
        <v>1423</v>
      </c>
      <c r="D11" s="1" t="s">
        <v>1424</v>
      </c>
    </row>
    <row r="12" spans="1:7">
      <c r="A12" s="23" t="s">
        <v>1425</v>
      </c>
      <c r="C12" s="147">
        <v>14084</v>
      </c>
    </row>
    <row r="13" spans="1:7" ht="27.75">
      <c r="A13" s="156" t="s">
        <v>1426</v>
      </c>
      <c r="B13" s="2" t="s">
        <v>1427</v>
      </c>
      <c r="C13" s="148">
        <v>37018</v>
      </c>
      <c r="D13" s="22" t="s">
        <v>1428</v>
      </c>
    </row>
    <row r="14" spans="1:7">
      <c r="A14" s="23" t="s">
        <v>1429</v>
      </c>
      <c r="B14" s="1" t="s">
        <v>1430</v>
      </c>
      <c r="C14" s="1">
        <v>216</v>
      </c>
      <c r="D14" s="1" t="s">
        <v>1403</v>
      </c>
    </row>
    <row r="15" spans="1:7" ht="27.75">
      <c r="A15" s="120" t="s">
        <v>1431</v>
      </c>
      <c r="B15" s="22" t="s">
        <v>1432</v>
      </c>
      <c r="C15" s="148">
        <v>2300</v>
      </c>
      <c r="D15" s="2" t="s">
        <v>526</v>
      </c>
    </row>
    <row r="16" spans="1:7">
      <c r="A16" s="23" t="s">
        <v>1433</v>
      </c>
      <c r="B16" s="1" t="s">
        <v>1434</v>
      </c>
      <c r="C16" s="1">
        <v>67</v>
      </c>
      <c r="D16" s="1" t="s">
        <v>1371</v>
      </c>
    </row>
    <row r="17" spans="1:5" ht="54.75">
      <c r="A17" s="123" t="s">
        <v>1435</v>
      </c>
      <c r="B17" s="158" t="s">
        <v>1415</v>
      </c>
      <c r="C17" s="159">
        <v>0</v>
      </c>
      <c r="D17" s="2" t="s">
        <v>1416</v>
      </c>
      <c r="E17" s="6"/>
    </row>
    <row r="18" spans="1:5">
      <c r="A18" s="23" t="s">
        <v>1436</v>
      </c>
      <c r="D18" s="1" t="s">
        <v>1351</v>
      </c>
      <c r="E18" s="6"/>
    </row>
    <row r="19" spans="1:5">
      <c r="A19" s="155" t="s">
        <v>1437</v>
      </c>
      <c r="B19" s="1" t="s">
        <v>1438</v>
      </c>
      <c r="C19" s="1">
        <v>59</v>
      </c>
      <c r="D19" s="1" t="s">
        <v>1403</v>
      </c>
    </row>
    <row r="20" spans="1:5" ht="27.75">
      <c r="A20" s="156" t="s">
        <v>1439</v>
      </c>
      <c r="B20" s="22" t="s">
        <v>1440</v>
      </c>
      <c r="C20" s="2">
        <v>893</v>
      </c>
      <c r="D20" s="2" t="s">
        <v>1351</v>
      </c>
    </row>
    <row r="21" spans="1:5">
      <c r="A21" s="155" t="s">
        <v>1441</v>
      </c>
      <c r="B21" s="1" t="s">
        <v>1399</v>
      </c>
      <c r="C21" s="1">
        <v>240</v>
      </c>
      <c r="D21" s="1" t="s">
        <v>1403</v>
      </c>
    </row>
    <row r="22" spans="1:5">
      <c r="A22" s="155" t="s">
        <v>1442</v>
      </c>
      <c r="B22" s="1" t="s">
        <v>1443</v>
      </c>
      <c r="C22" s="147">
        <v>1988</v>
      </c>
      <c r="D22" s="1" t="s">
        <v>1416</v>
      </c>
    </row>
    <row r="23" spans="1:5">
      <c r="A23" s="23" t="s">
        <v>1444</v>
      </c>
      <c r="B23" s="1" t="s">
        <v>1430</v>
      </c>
      <c r="C23" s="1">
        <v>509</v>
      </c>
      <c r="D23" s="1" t="s">
        <v>1403</v>
      </c>
    </row>
    <row r="24" spans="1:5">
      <c r="A24" s="155" t="s">
        <v>1445</v>
      </c>
      <c r="B24" s="1" t="s">
        <v>1406</v>
      </c>
      <c r="C24" s="1">
        <v>3800</v>
      </c>
      <c r="D24" s="1" t="s">
        <v>122</v>
      </c>
    </row>
    <row r="25" spans="1:5" ht="27.75">
      <c r="A25" s="156" t="s">
        <v>1446</v>
      </c>
      <c r="B25" s="22" t="s">
        <v>1447</v>
      </c>
      <c r="C25" s="148">
        <v>3294</v>
      </c>
      <c r="D25" s="2" t="s">
        <v>1403</v>
      </c>
    </row>
    <row r="26" spans="1:5">
      <c r="A26" s="23" t="s">
        <v>1448</v>
      </c>
      <c r="C26" s="147">
        <v>880</v>
      </c>
    </row>
    <row r="27" spans="1:5" ht="27.75">
      <c r="A27" s="156" t="s">
        <v>1449</v>
      </c>
      <c r="B27" s="22" t="s">
        <v>1450</v>
      </c>
      <c r="C27" s="148">
        <v>3017</v>
      </c>
      <c r="D27" s="2" t="s">
        <v>1369</v>
      </c>
    </row>
    <row r="28" spans="1:5">
      <c r="A28" s="23" t="s">
        <v>1451</v>
      </c>
      <c r="B28" s="1" t="s">
        <v>122</v>
      </c>
      <c r="C28" s="147"/>
      <c r="D28" s="1" t="s">
        <v>1416</v>
      </c>
    </row>
    <row r="29" spans="1:5">
      <c r="A29" s="23" t="s">
        <v>1452</v>
      </c>
      <c r="B29" s="1" t="s">
        <v>122</v>
      </c>
      <c r="C29" s="147"/>
      <c r="D29" s="1" t="s">
        <v>1351</v>
      </c>
    </row>
    <row r="30" spans="1:5">
      <c r="A30" s="23" t="s">
        <v>1453</v>
      </c>
      <c r="B30" s="1" t="s">
        <v>122</v>
      </c>
      <c r="C30" s="147"/>
      <c r="D30" s="1" t="s">
        <v>703</v>
      </c>
    </row>
    <row r="31" spans="1:5">
      <c r="A31" s="23" t="s">
        <v>1454</v>
      </c>
      <c r="B31" s="1" t="s">
        <v>122</v>
      </c>
      <c r="C31" s="147"/>
      <c r="D31" s="1" t="s">
        <v>1418</v>
      </c>
    </row>
    <row r="32" spans="1:5">
      <c r="A32" s="155" t="s">
        <v>1455</v>
      </c>
      <c r="B32" s="1" t="s">
        <v>1427</v>
      </c>
      <c r="C32" s="1">
        <v>758</v>
      </c>
      <c r="D32" s="1" t="s">
        <v>1456</v>
      </c>
    </row>
    <row r="33" spans="1:4">
      <c r="A33" s="23" t="s">
        <v>1457</v>
      </c>
      <c r="B33" s="1" t="s">
        <v>1430</v>
      </c>
      <c r="D33" s="1" t="s">
        <v>1418</v>
      </c>
    </row>
    <row r="34" spans="1:4" ht="27.75">
      <c r="A34" s="156" t="s">
        <v>1458</v>
      </c>
      <c r="B34" s="22" t="s">
        <v>1459</v>
      </c>
      <c r="C34" s="148">
        <v>2172</v>
      </c>
      <c r="D34" s="2" t="s">
        <v>1460</v>
      </c>
    </row>
    <row r="35" spans="1:4">
      <c r="A35" s="23" t="s">
        <v>1461</v>
      </c>
      <c r="B35" s="1" t="s">
        <v>1462</v>
      </c>
      <c r="C35" s="1">
        <v>104</v>
      </c>
      <c r="D35" s="1" t="s">
        <v>1400</v>
      </c>
    </row>
    <row r="36" spans="1:4">
      <c r="A36" s="155" t="s">
        <v>1463</v>
      </c>
      <c r="B36" s="1" t="s">
        <v>1427</v>
      </c>
      <c r="C36" s="1">
        <v>988</v>
      </c>
      <c r="D36" s="1" t="s">
        <v>526</v>
      </c>
    </row>
    <row r="37" spans="1:4">
      <c r="A37" s="155" t="s">
        <v>1464</v>
      </c>
      <c r="B37" s="1" t="s">
        <v>1427</v>
      </c>
      <c r="C37" s="1">
        <v>975</v>
      </c>
      <c r="D37" s="1" t="s">
        <v>526</v>
      </c>
    </row>
    <row r="38" spans="1:4" ht="27.75">
      <c r="A38" s="156" t="s">
        <v>1465</v>
      </c>
      <c r="B38" s="22" t="s">
        <v>1466</v>
      </c>
      <c r="C38" s="148">
        <v>1965</v>
      </c>
      <c r="D38" s="2" t="s">
        <v>1467</v>
      </c>
    </row>
    <row r="39" spans="1:4">
      <c r="A39" s="155" t="s">
        <v>1468</v>
      </c>
      <c r="B39" s="1" t="s">
        <v>1469</v>
      </c>
      <c r="C39" s="1">
        <v>4846</v>
      </c>
      <c r="D39" s="1" t="s">
        <v>1470</v>
      </c>
    </row>
    <row r="40" spans="1:4" ht="27.75">
      <c r="A40" s="156" t="s">
        <v>1471</v>
      </c>
      <c r="B40" s="22" t="s">
        <v>1472</v>
      </c>
      <c r="C40" s="148">
        <v>3966</v>
      </c>
      <c r="D40" s="1" t="s">
        <v>1470</v>
      </c>
    </row>
    <row r="41" spans="1:4">
      <c r="A41" s="155" t="s">
        <v>1473</v>
      </c>
      <c r="B41" s="1" t="s">
        <v>1474</v>
      </c>
      <c r="C41" s="147">
        <v>15623</v>
      </c>
      <c r="D41" s="22" t="s">
        <v>1475</v>
      </c>
    </row>
    <row r="42" spans="1:4" ht="27.75">
      <c r="A42" s="123" t="s">
        <v>1476</v>
      </c>
      <c r="B42" s="22" t="s">
        <v>1477</v>
      </c>
      <c r="C42" s="2">
        <v>660</v>
      </c>
      <c r="D42" s="1" t="s">
        <v>1475</v>
      </c>
    </row>
    <row r="43" spans="1:4">
      <c r="A43" s="23" t="s">
        <v>1478</v>
      </c>
      <c r="B43" s="1" t="s">
        <v>1402</v>
      </c>
      <c r="D43" s="2" t="s">
        <v>703</v>
      </c>
    </row>
    <row r="44" spans="1:4">
      <c r="A44" s="23" t="s">
        <v>1479</v>
      </c>
      <c r="B44" s="1" t="s">
        <v>1402</v>
      </c>
      <c r="D44" s="1" t="s">
        <v>1351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workbookViewId="0">
      <selection activeCell="D8" sqref="D8"/>
    </sheetView>
  </sheetViews>
  <sheetFormatPr defaultRowHeight="15"/>
  <cols>
    <col min="1" max="1" width="22.7109375" customWidth="1"/>
    <col min="2" max="2" width="22" style="1" customWidth="1"/>
    <col min="3" max="3" width="32.85546875" style="1" customWidth="1"/>
    <col min="4" max="4" width="23" style="1" customWidth="1"/>
    <col min="5" max="5" width="20.85546875" style="1" bestFit="1" customWidth="1"/>
    <col min="6" max="6" width="18.5703125" style="1" customWidth="1"/>
  </cols>
  <sheetData>
    <row r="1" spans="1:6">
      <c r="A1" s="1" t="s">
        <v>1480</v>
      </c>
      <c r="B1" s="1" t="s">
        <v>1481</v>
      </c>
      <c r="C1" s="1" t="s">
        <v>1482</v>
      </c>
      <c r="D1" s="1" t="s">
        <v>1483</v>
      </c>
      <c r="E1" s="1" t="s">
        <v>1484</v>
      </c>
      <c r="F1" s="1" t="s">
        <v>1485</v>
      </c>
    </row>
    <row r="2" spans="1:6">
      <c r="A2" t="s">
        <v>1486</v>
      </c>
      <c r="B2" s="1" t="s">
        <v>1487</v>
      </c>
      <c r="C2" s="1" t="s">
        <v>1488</v>
      </c>
      <c r="D2" s="153">
        <v>7952.9066999999995</v>
      </c>
      <c r="E2" s="1" t="s">
        <v>1489</v>
      </c>
      <c r="F2" s="154">
        <v>39804</v>
      </c>
    </row>
    <row r="3" spans="1:6">
      <c r="A3" t="s">
        <v>1490</v>
      </c>
      <c r="B3" s="1" t="s">
        <v>1491</v>
      </c>
      <c r="C3" s="1" t="s">
        <v>1492</v>
      </c>
      <c r="D3" s="153">
        <v>4658.8723</v>
      </c>
      <c r="E3" s="1" t="s">
        <v>1493</v>
      </c>
      <c r="F3" s="154">
        <v>43369</v>
      </c>
    </row>
    <row r="4" spans="1:6">
      <c r="A4" t="s">
        <v>1494</v>
      </c>
      <c r="B4" s="1" t="s">
        <v>1495</v>
      </c>
      <c r="C4" s="1" t="s">
        <v>1496</v>
      </c>
      <c r="D4" s="153">
        <v>30.867100000000001</v>
      </c>
      <c r="E4" s="1" t="s">
        <v>1497</v>
      </c>
      <c r="F4" s="154">
        <v>41835</v>
      </c>
    </row>
    <row r="5" spans="1:6">
      <c r="A5" t="s">
        <v>1498</v>
      </c>
      <c r="B5" s="1" t="s">
        <v>1499</v>
      </c>
      <c r="C5" s="1" t="s">
        <v>1500</v>
      </c>
      <c r="D5" s="1">
        <v>542.41070000000002</v>
      </c>
      <c r="E5" s="1" t="s">
        <v>1501</v>
      </c>
      <c r="F5" s="154">
        <v>44636</v>
      </c>
    </row>
    <row r="6" spans="1:6">
      <c r="A6" t="s">
        <v>1502</v>
      </c>
      <c r="B6" s="1" t="s">
        <v>1503</v>
      </c>
      <c r="C6" s="1" t="s">
        <v>1504</v>
      </c>
      <c r="D6" s="1">
        <v>10.108599999999999</v>
      </c>
      <c r="E6" s="1" t="s">
        <v>1505</v>
      </c>
      <c r="F6" s="154">
        <v>45250</v>
      </c>
    </row>
    <row r="7" spans="1:6">
      <c r="A7" t="s">
        <v>1506</v>
      </c>
      <c r="B7" s="1" t="s">
        <v>1507</v>
      </c>
      <c r="C7" s="1" t="s">
        <v>1508</v>
      </c>
      <c r="D7" s="1">
        <v>961.2894</v>
      </c>
      <c r="E7" s="1" t="s">
        <v>1509</v>
      </c>
      <c r="F7" s="154">
        <v>44767</v>
      </c>
    </row>
    <row r="8" spans="1:6">
      <c r="A8" t="s">
        <v>1510</v>
      </c>
      <c r="B8" s="1" t="s">
        <v>1511</v>
      </c>
      <c r="C8" s="1" t="s">
        <v>1512</v>
      </c>
      <c r="E8" s="1" t="s">
        <v>1513</v>
      </c>
    </row>
    <row r="9" spans="1:6">
      <c r="A9" t="s">
        <v>1514</v>
      </c>
      <c r="B9" s="1" t="s">
        <v>1515</v>
      </c>
      <c r="C9" s="1" t="s">
        <v>1516</v>
      </c>
      <c r="E9" s="1" t="s">
        <v>1513</v>
      </c>
    </row>
    <row r="10" spans="1:6">
      <c r="A10" t="s">
        <v>1517</v>
      </c>
      <c r="B10" s="1" t="s">
        <v>1518</v>
      </c>
      <c r="C10" s="1" t="s">
        <v>1519</v>
      </c>
      <c r="E10" s="1" t="s">
        <v>1513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96"/>
  <sheetViews>
    <sheetView zoomScaleNormal="80" zoomScaleSheetLayoutView="100" workbookViewId="0">
      <pane xSplit="1" topLeftCell="R166" activePane="topRight" state="frozen"/>
      <selection pane="topRight" activeCell="R1" sqref="R1"/>
    </sheetView>
  </sheetViews>
  <sheetFormatPr defaultRowHeight="15"/>
  <cols>
    <col min="1" max="1" width="19.7109375" customWidth="1"/>
    <col min="2" max="2" width="15" customWidth="1"/>
    <col min="3" max="3" width="14" customWidth="1"/>
    <col min="4" max="4" width="15.42578125" customWidth="1"/>
    <col min="5" max="5" width="15.140625" customWidth="1"/>
    <col min="6" max="6" width="17.28515625" customWidth="1"/>
    <col min="7" max="7" width="18.7109375" customWidth="1"/>
    <col min="8" max="8" width="20.85546875" customWidth="1"/>
    <col min="9" max="9" width="16.85546875" customWidth="1"/>
    <col min="10" max="10" width="14" customWidth="1"/>
    <col min="11" max="11" width="13" customWidth="1"/>
    <col min="12" max="12" width="14.42578125" customWidth="1"/>
    <col min="13" max="13" width="14.85546875" style="29" customWidth="1"/>
    <col min="14" max="14" width="14.140625" customWidth="1"/>
    <col min="15" max="15" width="18" customWidth="1"/>
    <col min="16" max="16" width="15.28515625" customWidth="1"/>
    <col min="17" max="17" width="16.42578125" customWidth="1"/>
    <col min="18" max="18" width="14.85546875" customWidth="1"/>
    <col min="19" max="19" width="16.7109375" customWidth="1"/>
    <col min="20" max="20" width="14" customWidth="1"/>
    <col min="21" max="21" width="22.28515625" customWidth="1"/>
    <col min="22" max="22" width="13.42578125" customWidth="1"/>
    <col min="23" max="23" width="15.28515625" customWidth="1"/>
    <col min="24" max="24" width="15.5703125" customWidth="1"/>
    <col min="25" max="25" width="22.85546875" customWidth="1"/>
    <col min="26" max="26" width="15.42578125" customWidth="1"/>
    <col min="27" max="27" width="82.140625" customWidth="1"/>
    <col min="28" max="28" width="34.7109375" customWidth="1"/>
    <col min="29" max="29" width="162.7109375" customWidth="1"/>
  </cols>
  <sheetData>
    <row r="1" spans="1:29">
      <c r="A1" t="s">
        <v>1520</v>
      </c>
      <c r="B1" s="287" t="s">
        <v>1521</v>
      </c>
      <c r="C1" s="287" t="s">
        <v>1522</v>
      </c>
      <c r="D1" s="287" t="s">
        <v>1523</v>
      </c>
      <c r="E1" s="287" t="s">
        <v>1524</v>
      </c>
      <c r="F1" s="287" t="s">
        <v>1525</v>
      </c>
      <c r="G1" s="287" t="s">
        <v>1526</v>
      </c>
      <c r="H1" s="287" t="s">
        <v>1527</v>
      </c>
      <c r="I1" s="287" t="s">
        <v>1528</v>
      </c>
      <c r="J1" s="287" t="s">
        <v>1529</v>
      </c>
      <c r="K1" s="287" t="s">
        <v>1530</v>
      </c>
      <c r="L1" s="287" t="s">
        <v>1531</v>
      </c>
      <c r="M1" s="285" t="s">
        <v>1532</v>
      </c>
      <c r="N1" s="287" t="s">
        <v>1533</v>
      </c>
      <c r="O1" t="s">
        <v>53</v>
      </c>
      <c r="P1" s="287" t="s">
        <v>1534</v>
      </c>
      <c r="Q1" t="s">
        <v>1535</v>
      </c>
      <c r="R1" t="s">
        <v>1536</v>
      </c>
      <c r="S1" t="s">
        <v>45</v>
      </c>
      <c r="T1" t="s">
        <v>1537</v>
      </c>
      <c r="U1" t="s">
        <v>1538</v>
      </c>
      <c r="V1" t="s">
        <v>1539</v>
      </c>
      <c r="W1" t="s">
        <v>16</v>
      </c>
      <c r="X1" t="s">
        <v>18</v>
      </c>
      <c r="Y1" t="s">
        <v>43</v>
      </c>
      <c r="Z1" t="s">
        <v>1540</v>
      </c>
      <c r="AA1" t="s">
        <v>1541</v>
      </c>
      <c r="AB1" t="s">
        <v>1542</v>
      </c>
      <c r="AC1" t="s">
        <v>1543</v>
      </c>
    </row>
    <row r="2" spans="1:29">
      <c r="A2" s="26" t="s">
        <v>1544</v>
      </c>
      <c r="B2" s="27" t="s">
        <v>319</v>
      </c>
      <c r="C2" s="27"/>
      <c r="D2" s="27"/>
      <c r="E2" s="27"/>
      <c r="F2" s="27"/>
      <c r="G2" s="27"/>
      <c r="H2" s="27"/>
      <c r="I2" s="27"/>
      <c r="J2" s="27"/>
      <c r="K2" s="27"/>
      <c r="L2" s="27"/>
      <c r="M2" s="49"/>
      <c r="N2" s="27"/>
      <c r="O2" s="27"/>
      <c r="P2" s="27"/>
      <c r="Q2" s="27"/>
      <c r="R2" s="27"/>
      <c r="S2" s="27"/>
      <c r="T2" s="27"/>
      <c r="U2" s="27"/>
      <c r="V2" s="27"/>
      <c r="W2" s="27"/>
      <c r="X2" s="27"/>
      <c r="Y2" s="27"/>
      <c r="Z2" s="27"/>
      <c r="AA2" s="31" t="s">
        <v>1545</v>
      </c>
      <c r="AB2" s="33" t="s">
        <v>1546</v>
      </c>
      <c r="AC2" t="s">
        <v>1547</v>
      </c>
    </row>
    <row r="3" spans="1:29" ht="27.75">
      <c r="A3" s="53" t="s">
        <v>1467</v>
      </c>
      <c r="B3" t="s">
        <v>180</v>
      </c>
      <c r="C3" t="s">
        <v>1548</v>
      </c>
      <c r="D3" t="s">
        <v>1549</v>
      </c>
      <c r="E3" s="45" t="s">
        <v>1550</v>
      </c>
      <c r="F3" t="s">
        <v>1551</v>
      </c>
      <c r="G3" t="s">
        <v>1551</v>
      </c>
      <c r="H3" t="s">
        <v>1551</v>
      </c>
      <c r="J3" t="s">
        <v>1552</v>
      </c>
      <c r="K3" t="s">
        <v>1551</v>
      </c>
      <c r="L3" t="s">
        <v>1553</v>
      </c>
      <c r="M3" s="29" t="s">
        <v>1554</v>
      </c>
      <c r="V3" s="48" t="s">
        <v>1555</v>
      </c>
      <c r="AA3" s="31" t="s">
        <v>1545</v>
      </c>
      <c r="AB3" s="33" t="s">
        <v>1556</v>
      </c>
      <c r="AC3" t="s">
        <v>1557</v>
      </c>
    </row>
    <row r="4" spans="1:29">
      <c r="A4" s="54" t="s">
        <v>1558</v>
      </c>
      <c r="B4" t="s">
        <v>180</v>
      </c>
      <c r="C4" t="s">
        <v>1559</v>
      </c>
      <c r="D4" t="s">
        <v>1551</v>
      </c>
      <c r="E4" t="s">
        <v>1560</v>
      </c>
      <c r="F4" t="s">
        <v>1551</v>
      </c>
      <c r="G4" t="s">
        <v>1551</v>
      </c>
      <c r="H4" t="s">
        <v>1551</v>
      </c>
      <c r="J4" t="s">
        <v>1561</v>
      </c>
      <c r="K4" t="s">
        <v>1551</v>
      </c>
      <c r="L4" t="s">
        <v>1551</v>
      </c>
      <c r="M4" t="s">
        <v>1551</v>
      </c>
      <c r="N4" t="s">
        <v>1562</v>
      </c>
      <c r="AA4" s="31" t="s">
        <v>1563</v>
      </c>
      <c r="AB4" s="33" t="s">
        <v>1564</v>
      </c>
      <c r="AC4" t="s">
        <v>1565</v>
      </c>
    </row>
    <row r="5" spans="1:29">
      <c r="A5" s="54" t="s">
        <v>1566</v>
      </c>
      <c r="B5" t="s">
        <v>180</v>
      </c>
      <c r="C5" t="s">
        <v>1567</v>
      </c>
      <c r="D5" t="s">
        <v>1568</v>
      </c>
      <c r="E5" t="s">
        <v>1551</v>
      </c>
      <c r="F5" t="s">
        <v>1551</v>
      </c>
      <c r="G5" t="s">
        <v>1569</v>
      </c>
      <c r="H5" t="s">
        <v>1551</v>
      </c>
      <c r="J5" t="s">
        <v>1570</v>
      </c>
      <c r="K5" t="s">
        <v>1551</v>
      </c>
      <c r="L5" t="s">
        <v>1551</v>
      </c>
      <c r="M5" t="s">
        <v>1551</v>
      </c>
      <c r="N5" t="s">
        <v>1551</v>
      </c>
      <c r="AA5" s="30" t="s">
        <v>1571</v>
      </c>
      <c r="AB5" s="34" t="s">
        <v>1572</v>
      </c>
      <c r="AC5" t="s">
        <v>1573</v>
      </c>
    </row>
    <row r="6" spans="1:29">
      <c r="A6" s="54" t="s">
        <v>1574</v>
      </c>
      <c r="B6" t="s">
        <v>180</v>
      </c>
      <c r="C6" t="s">
        <v>1575</v>
      </c>
      <c r="D6" t="s">
        <v>1576</v>
      </c>
      <c r="E6" t="s">
        <v>1577</v>
      </c>
      <c r="F6" t="s">
        <v>1551</v>
      </c>
      <c r="G6" t="s">
        <v>1551</v>
      </c>
      <c r="H6" t="s">
        <v>1551</v>
      </c>
      <c r="J6" t="s">
        <v>1578</v>
      </c>
      <c r="K6" t="s">
        <v>1551</v>
      </c>
      <c r="L6" t="s">
        <v>1551</v>
      </c>
      <c r="M6" t="s">
        <v>1551</v>
      </c>
      <c r="N6" t="s">
        <v>1579</v>
      </c>
      <c r="AA6" s="31" t="s">
        <v>1545</v>
      </c>
      <c r="AB6" s="34" t="s">
        <v>1580</v>
      </c>
      <c r="AC6" t="s">
        <v>1581</v>
      </c>
    </row>
    <row r="7" spans="1:29">
      <c r="A7" s="26" t="s">
        <v>1582</v>
      </c>
      <c r="B7" s="27" t="s">
        <v>319</v>
      </c>
      <c r="C7" s="27"/>
      <c r="D7" s="27"/>
      <c r="E7" s="27"/>
      <c r="F7" s="27"/>
      <c r="G7" s="27"/>
      <c r="H7" s="27"/>
      <c r="I7" s="27"/>
      <c r="J7" s="27"/>
      <c r="L7" s="27"/>
      <c r="M7" s="49"/>
      <c r="N7" s="27"/>
      <c r="O7" s="27"/>
      <c r="P7" s="27"/>
      <c r="Q7" s="27"/>
      <c r="R7" s="27"/>
      <c r="S7" s="27"/>
      <c r="T7" s="27"/>
      <c r="U7" s="27"/>
      <c r="V7" s="27"/>
      <c r="W7" s="27"/>
      <c r="X7" s="27"/>
      <c r="Y7" s="27"/>
      <c r="Z7" s="27"/>
      <c r="AA7" s="31" t="s">
        <v>1545</v>
      </c>
      <c r="AB7" s="35" t="s">
        <v>1583</v>
      </c>
      <c r="AC7" t="s">
        <v>1584</v>
      </c>
    </row>
    <row r="8" spans="1:29">
      <c r="A8" s="54" t="s">
        <v>1585</v>
      </c>
      <c r="B8" t="s">
        <v>180</v>
      </c>
      <c r="C8" t="s">
        <v>1551</v>
      </c>
      <c r="D8" t="s">
        <v>1586</v>
      </c>
      <c r="E8" t="s">
        <v>1587</v>
      </c>
      <c r="F8" t="s">
        <v>1551</v>
      </c>
      <c r="G8" t="s">
        <v>1588</v>
      </c>
      <c r="H8" t="s">
        <v>1551</v>
      </c>
      <c r="J8" t="s">
        <v>1589</v>
      </c>
      <c r="K8" t="s">
        <v>1551</v>
      </c>
      <c r="L8" t="s">
        <v>1588</v>
      </c>
      <c r="M8" t="s">
        <v>1551</v>
      </c>
      <c r="N8" t="s">
        <v>1551</v>
      </c>
      <c r="X8" t="s">
        <v>1590</v>
      </c>
      <c r="AA8" s="31" t="s">
        <v>1545</v>
      </c>
      <c r="AB8" s="36" t="s">
        <v>1591</v>
      </c>
      <c r="AC8" t="s">
        <v>1592</v>
      </c>
    </row>
    <row r="9" spans="1:29">
      <c r="A9" s="54" t="s">
        <v>1593</v>
      </c>
      <c r="B9" t="s">
        <v>180</v>
      </c>
      <c r="C9" t="s">
        <v>1594</v>
      </c>
      <c r="D9" t="s">
        <v>1595</v>
      </c>
      <c r="E9" t="s">
        <v>1596</v>
      </c>
      <c r="F9" t="s">
        <v>1551</v>
      </c>
      <c r="G9" t="s">
        <v>1551</v>
      </c>
      <c r="H9" t="s">
        <v>1551</v>
      </c>
      <c r="J9" t="s">
        <v>1597</v>
      </c>
      <c r="K9" t="s">
        <v>1551</v>
      </c>
      <c r="L9" t="s">
        <v>1551</v>
      </c>
      <c r="M9" t="s">
        <v>1551</v>
      </c>
      <c r="N9" t="s">
        <v>1551</v>
      </c>
      <c r="AA9" s="32" t="s">
        <v>1598</v>
      </c>
      <c r="AB9" s="33" t="s">
        <v>1599</v>
      </c>
      <c r="AC9" t="s">
        <v>1557</v>
      </c>
    </row>
    <row r="10" spans="1:29">
      <c r="A10" s="54" t="s">
        <v>1600</v>
      </c>
      <c r="B10" t="s">
        <v>180</v>
      </c>
      <c r="C10" t="s">
        <v>1551</v>
      </c>
      <c r="D10" t="s">
        <v>1551</v>
      </c>
      <c r="E10" t="s">
        <v>1601</v>
      </c>
      <c r="F10" t="s">
        <v>1551</v>
      </c>
      <c r="G10" t="s">
        <v>1551</v>
      </c>
      <c r="H10" t="s">
        <v>1551</v>
      </c>
      <c r="J10" t="s">
        <v>1602</v>
      </c>
      <c r="K10" t="s">
        <v>1551</v>
      </c>
      <c r="L10" t="s">
        <v>1551</v>
      </c>
      <c r="M10" t="s">
        <v>1551</v>
      </c>
      <c r="N10" t="s">
        <v>1603</v>
      </c>
      <c r="X10" t="s">
        <v>1604</v>
      </c>
      <c r="AA10" s="32" t="s">
        <v>1605</v>
      </c>
      <c r="AB10" s="34" t="s">
        <v>1606</v>
      </c>
      <c r="AC10" t="s">
        <v>1607</v>
      </c>
    </row>
    <row r="11" spans="1:29">
      <c r="A11" s="54" t="s">
        <v>1608</v>
      </c>
      <c r="B11" t="s">
        <v>180</v>
      </c>
      <c r="C11" t="s">
        <v>1609</v>
      </c>
      <c r="D11" t="s">
        <v>1610</v>
      </c>
      <c r="E11" t="s">
        <v>1611</v>
      </c>
      <c r="F11" t="s">
        <v>1551</v>
      </c>
      <c r="G11" t="s">
        <v>1551</v>
      </c>
      <c r="H11" t="s">
        <v>1551</v>
      </c>
      <c r="J11" t="s">
        <v>1612</v>
      </c>
      <c r="K11" t="s">
        <v>1551</v>
      </c>
      <c r="L11" t="s">
        <v>1613</v>
      </c>
      <c r="M11" t="s">
        <v>1551</v>
      </c>
      <c r="N11" t="s">
        <v>1551</v>
      </c>
      <c r="AA11" s="31" t="s">
        <v>1545</v>
      </c>
      <c r="AB11" s="33" t="s">
        <v>1614</v>
      </c>
      <c r="AC11" t="s">
        <v>1615</v>
      </c>
    </row>
    <row r="12" spans="1:29" ht="27.75">
      <c r="A12" s="54" t="s">
        <v>1616</v>
      </c>
      <c r="B12" t="s">
        <v>180</v>
      </c>
      <c r="C12" t="s">
        <v>1617</v>
      </c>
      <c r="D12" t="s">
        <v>1618</v>
      </c>
      <c r="E12" t="s">
        <v>1619</v>
      </c>
      <c r="F12" t="s">
        <v>1551</v>
      </c>
      <c r="G12" t="s">
        <v>1620</v>
      </c>
      <c r="H12" t="s">
        <v>1551</v>
      </c>
      <c r="J12" s="45" t="s">
        <v>1621</v>
      </c>
      <c r="K12" t="s">
        <v>1551</v>
      </c>
      <c r="L12" t="s">
        <v>1620</v>
      </c>
      <c r="M12" s="29" t="s">
        <v>1622</v>
      </c>
      <c r="N12" t="s">
        <v>1551</v>
      </c>
      <c r="X12" t="s">
        <v>1623</v>
      </c>
      <c r="AA12" s="31" t="s">
        <v>1545</v>
      </c>
      <c r="AB12" s="33" t="s">
        <v>1624</v>
      </c>
      <c r="AC12" t="s">
        <v>1625</v>
      </c>
    </row>
    <row r="13" spans="1:29" ht="27.75">
      <c r="A13" s="54" t="s">
        <v>1626</v>
      </c>
      <c r="B13" t="s">
        <v>180</v>
      </c>
      <c r="C13" t="s">
        <v>1627</v>
      </c>
      <c r="D13" t="s">
        <v>1551</v>
      </c>
      <c r="E13" s="45" t="s">
        <v>1628</v>
      </c>
      <c r="F13" t="s">
        <v>1551</v>
      </c>
      <c r="G13" t="s">
        <v>1551</v>
      </c>
      <c r="H13" t="s">
        <v>1551</v>
      </c>
      <c r="J13" t="s">
        <v>1629</v>
      </c>
      <c r="K13" t="s">
        <v>1551</v>
      </c>
      <c r="L13" t="s">
        <v>1551</v>
      </c>
      <c r="M13" t="s">
        <v>1551</v>
      </c>
      <c r="N13" t="s">
        <v>1630</v>
      </c>
      <c r="AA13" s="31" t="s">
        <v>1631</v>
      </c>
      <c r="AB13" s="34" t="s">
        <v>1632</v>
      </c>
    </row>
    <row r="14" spans="1:29">
      <c r="A14" s="54" t="s">
        <v>1633</v>
      </c>
      <c r="B14" t="s">
        <v>180</v>
      </c>
      <c r="C14" t="s">
        <v>1634</v>
      </c>
      <c r="D14" t="s">
        <v>1635</v>
      </c>
      <c r="E14" t="s">
        <v>1636</v>
      </c>
      <c r="F14" t="s">
        <v>1551</v>
      </c>
      <c r="G14" t="s">
        <v>1551</v>
      </c>
      <c r="H14" t="s">
        <v>1551</v>
      </c>
      <c r="J14" t="s">
        <v>1637</v>
      </c>
      <c r="K14" t="s">
        <v>1551</v>
      </c>
      <c r="L14" t="s">
        <v>1551</v>
      </c>
      <c r="M14" t="s">
        <v>1551</v>
      </c>
      <c r="N14" t="s">
        <v>1551</v>
      </c>
      <c r="AA14" t="s">
        <v>122</v>
      </c>
      <c r="AB14" s="33" t="s">
        <v>1638</v>
      </c>
      <c r="AC14" t="s">
        <v>1639</v>
      </c>
    </row>
    <row r="15" spans="1:29">
      <c r="A15" s="54" t="s">
        <v>1640</v>
      </c>
      <c r="B15" t="s">
        <v>180</v>
      </c>
      <c r="C15" t="s">
        <v>1641</v>
      </c>
      <c r="D15" t="s">
        <v>1641</v>
      </c>
      <c r="E15" t="s">
        <v>1642</v>
      </c>
      <c r="F15" t="s">
        <v>1551</v>
      </c>
      <c r="G15" t="s">
        <v>1551</v>
      </c>
      <c r="H15" t="s">
        <v>1551</v>
      </c>
      <c r="J15" t="s">
        <v>1551</v>
      </c>
      <c r="K15" t="s">
        <v>1551</v>
      </c>
      <c r="L15" t="s">
        <v>1551</v>
      </c>
      <c r="M15" t="s">
        <v>1551</v>
      </c>
      <c r="N15" t="s">
        <v>1551</v>
      </c>
      <c r="AA15" s="30" t="s">
        <v>1643</v>
      </c>
      <c r="AB15" s="33" t="s">
        <v>1644</v>
      </c>
    </row>
    <row r="16" spans="1:29">
      <c r="A16" s="54" t="s">
        <v>1645</v>
      </c>
      <c r="B16" s="287" t="s">
        <v>180</v>
      </c>
      <c r="C16" s="287" t="s">
        <v>1646</v>
      </c>
      <c r="D16" s="287" t="s">
        <v>1647</v>
      </c>
      <c r="E16" s="287" t="s">
        <v>1648</v>
      </c>
      <c r="F16" t="s">
        <v>1551</v>
      </c>
      <c r="G16" s="287" t="s">
        <v>1649</v>
      </c>
      <c r="H16" t="s">
        <v>1551</v>
      </c>
      <c r="I16" s="287"/>
      <c r="J16" s="287" t="s">
        <v>1650</v>
      </c>
      <c r="K16" t="s">
        <v>1551</v>
      </c>
      <c r="L16" t="s">
        <v>1551</v>
      </c>
      <c r="M16" t="s">
        <v>1551</v>
      </c>
      <c r="N16" t="s">
        <v>1551</v>
      </c>
      <c r="P16" s="287"/>
      <c r="AA16" s="31" t="s">
        <v>1545</v>
      </c>
      <c r="AB16" s="33" t="s">
        <v>1651</v>
      </c>
    </row>
    <row r="17" spans="1:29">
      <c r="A17" s="26" t="s">
        <v>1652</v>
      </c>
      <c r="B17" s="27" t="s">
        <v>319</v>
      </c>
      <c r="C17" s="27"/>
      <c r="D17" s="27"/>
      <c r="E17" s="27"/>
      <c r="F17" s="27"/>
      <c r="G17" s="27"/>
      <c r="H17" s="27"/>
      <c r="I17" s="27"/>
      <c r="J17" s="27"/>
      <c r="K17" s="27"/>
      <c r="L17" s="27"/>
      <c r="M17" s="49"/>
      <c r="N17" s="27"/>
      <c r="O17" s="27"/>
      <c r="P17" s="27"/>
      <c r="Q17" s="27"/>
      <c r="R17" s="27"/>
      <c r="S17" s="27"/>
      <c r="T17" s="27"/>
      <c r="U17" s="27"/>
      <c r="V17" s="27"/>
      <c r="W17" s="27"/>
      <c r="X17" s="27"/>
      <c r="Y17" s="27"/>
      <c r="Z17" s="27"/>
      <c r="AA17" s="30" t="s">
        <v>1653</v>
      </c>
      <c r="AB17" s="33" t="s">
        <v>1654</v>
      </c>
    </row>
    <row r="18" spans="1:29" ht="27.75">
      <c r="A18" s="54" t="s">
        <v>1655</v>
      </c>
      <c r="B18" t="s">
        <v>180</v>
      </c>
      <c r="C18" t="s">
        <v>1656</v>
      </c>
      <c r="D18" t="s">
        <v>1657</v>
      </c>
      <c r="E18" t="s">
        <v>1658</v>
      </c>
      <c r="F18" t="s">
        <v>1551</v>
      </c>
      <c r="G18" t="s">
        <v>1551</v>
      </c>
      <c r="H18" t="s">
        <v>1551</v>
      </c>
      <c r="J18" t="s">
        <v>1659</v>
      </c>
      <c r="K18" t="s">
        <v>1551</v>
      </c>
      <c r="L18" t="s">
        <v>1660</v>
      </c>
      <c r="M18" t="s">
        <v>1551</v>
      </c>
      <c r="N18" t="s">
        <v>1551</v>
      </c>
      <c r="X18" s="45" t="s">
        <v>1661</v>
      </c>
      <c r="AA18" s="31" t="s">
        <v>1545</v>
      </c>
      <c r="AB18" s="34" t="s">
        <v>1662</v>
      </c>
    </row>
    <row r="19" spans="1:29" ht="27.75">
      <c r="A19" s="54" t="s">
        <v>1369</v>
      </c>
      <c r="B19" t="s">
        <v>180</v>
      </c>
      <c r="C19" t="s">
        <v>1663</v>
      </c>
      <c r="D19" t="s">
        <v>1663</v>
      </c>
      <c r="E19" t="s">
        <v>1664</v>
      </c>
      <c r="F19" t="s">
        <v>1551</v>
      </c>
      <c r="G19" t="s">
        <v>1665</v>
      </c>
      <c r="H19" t="s">
        <v>1551</v>
      </c>
      <c r="J19" t="s">
        <v>1666</v>
      </c>
      <c r="K19" t="s">
        <v>1667</v>
      </c>
      <c r="L19" t="s">
        <v>1668</v>
      </c>
      <c r="M19" t="s">
        <v>1551</v>
      </c>
      <c r="N19" s="45" t="s">
        <v>1669</v>
      </c>
      <c r="X19" t="s">
        <v>1670</v>
      </c>
      <c r="AA19" s="30" t="s">
        <v>1671</v>
      </c>
      <c r="AB19" s="33" t="s">
        <v>1672</v>
      </c>
      <c r="AC19" t="s">
        <v>1673</v>
      </c>
    </row>
    <row r="20" spans="1:29" ht="27.75">
      <c r="A20" s="54" t="s">
        <v>260</v>
      </c>
      <c r="B20" t="s">
        <v>180</v>
      </c>
      <c r="C20" t="s">
        <v>1674</v>
      </c>
      <c r="D20" t="s">
        <v>1675</v>
      </c>
      <c r="E20" s="45" t="s">
        <v>1676</v>
      </c>
      <c r="F20" t="s">
        <v>1551</v>
      </c>
      <c r="G20" t="s">
        <v>1677</v>
      </c>
      <c r="H20" t="s">
        <v>1551</v>
      </c>
      <c r="J20" t="s">
        <v>1678</v>
      </c>
      <c r="K20" t="s">
        <v>1679</v>
      </c>
      <c r="L20" t="s">
        <v>1680</v>
      </c>
      <c r="M20" t="s">
        <v>1551</v>
      </c>
      <c r="N20" t="s">
        <v>1551</v>
      </c>
      <c r="Q20" s="45" t="s">
        <v>1681</v>
      </c>
      <c r="S20" t="s">
        <v>271</v>
      </c>
      <c r="W20" t="s">
        <v>1682</v>
      </c>
      <c r="AA20" s="30" t="s">
        <v>1683</v>
      </c>
      <c r="AB20" s="33" t="s">
        <v>1684</v>
      </c>
    </row>
    <row r="21" spans="1:29">
      <c r="A21" s="54" t="s">
        <v>1685</v>
      </c>
      <c r="B21" t="s">
        <v>180</v>
      </c>
      <c r="C21" t="s">
        <v>1686</v>
      </c>
      <c r="E21" t="s">
        <v>1687</v>
      </c>
      <c r="F21" t="s">
        <v>1551</v>
      </c>
      <c r="G21" t="s">
        <v>1551</v>
      </c>
      <c r="H21" t="s">
        <v>1551</v>
      </c>
      <c r="J21" t="s">
        <v>1688</v>
      </c>
      <c r="K21" t="s">
        <v>1551</v>
      </c>
      <c r="L21" t="s">
        <v>1551</v>
      </c>
      <c r="M21" t="s">
        <v>1551</v>
      </c>
      <c r="N21" t="s">
        <v>1551</v>
      </c>
      <c r="AA21" t="s">
        <v>122</v>
      </c>
    </row>
    <row r="22" spans="1:29">
      <c r="A22" s="54" t="s">
        <v>292</v>
      </c>
      <c r="B22" t="s">
        <v>180</v>
      </c>
      <c r="C22" t="s">
        <v>1689</v>
      </c>
      <c r="D22" t="s">
        <v>1690</v>
      </c>
      <c r="E22" t="s">
        <v>1691</v>
      </c>
      <c r="F22" t="s">
        <v>1551</v>
      </c>
      <c r="G22" t="s">
        <v>1551</v>
      </c>
      <c r="H22" t="s">
        <v>1551</v>
      </c>
      <c r="J22" t="s">
        <v>1551</v>
      </c>
      <c r="K22" t="s">
        <v>1551</v>
      </c>
      <c r="L22" t="s">
        <v>1551</v>
      </c>
      <c r="M22" t="s">
        <v>1551</v>
      </c>
      <c r="N22" t="s">
        <v>1551</v>
      </c>
      <c r="P22" t="s">
        <v>1692</v>
      </c>
      <c r="AA22" s="31" t="s">
        <v>1653</v>
      </c>
      <c r="AB22" s="34" t="s">
        <v>1693</v>
      </c>
    </row>
    <row r="23" spans="1:29">
      <c r="A23" s="54" t="s">
        <v>1694</v>
      </c>
      <c r="B23" t="s">
        <v>180</v>
      </c>
      <c r="D23" t="s">
        <v>1695</v>
      </c>
      <c r="E23" t="s">
        <v>1696</v>
      </c>
      <c r="F23" t="s">
        <v>1551</v>
      </c>
      <c r="G23" t="s">
        <v>1697</v>
      </c>
      <c r="K23" t="s">
        <v>1551</v>
      </c>
      <c r="L23" t="s">
        <v>1697</v>
      </c>
      <c r="M23" t="s">
        <v>1551</v>
      </c>
      <c r="N23" t="s">
        <v>1551</v>
      </c>
      <c r="X23" t="s">
        <v>1698</v>
      </c>
      <c r="AA23" s="30" t="s">
        <v>1653</v>
      </c>
      <c r="AB23" s="34" t="s">
        <v>1699</v>
      </c>
    </row>
    <row r="24" spans="1:29" ht="27" customHeight="1">
      <c r="A24" s="54" t="s">
        <v>1377</v>
      </c>
      <c r="B24" t="s">
        <v>180</v>
      </c>
      <c r="C24" t="s">
        <v>1700</v>
      </c>
      <c r="D24" t="s">
        <v>1701</v>
      </c>
      <c r="E24" t="s">
        <v>1702</v>
      </c>
      <c r="F24" t="s">
        <v>1551</v>
      </c>
      <c r="G24" t="s">
        <v>1703</v>
      </c>
      <c r="J24" t="s">
        <v>1704</v>
      </c>
      <c r="K24" t="s">
        <v>1551</v>
      </c>
      <c r="L24" s="45" t="s">
        <v>1705</v>
      </c>
      <c r="M24" t="s">
        <v>1551</v>
      </c>
      <c r="N24" t="s">
        <v>1706</v>
      </c>
      <c r="X24" t="s">
        <v>1707</v>
      </c>
      <c r="AA24" s="31" t="s">
        <v>1545</v>
      </c>
      <c r="AB24" s="33" t="s">
        <v>1708</v>
      </c>
    </row>
    <row r="25" spans="1:29" ht="27.75">
      <c r="A25" s="54" t="s">
        <v>1709</v>
      </c>
      <c r="B25" s="287" t="s">
        <v>180</v>
      </c>
      <c r="C25" s="28" t="s">
        <v>1710</v>
      </c>
      <c r="D25" t="s">
        <v>1551</v>
      </c>
      <c r="E25" s="55" t="s">
        <v>1711</v>
      </c>
      <c r="F25" t="s">
        <v>1551</v>
      </c>
      <c r="G25" s="287" t="s">
        <v>1712</v>
      </c>
      <c r="H25" s="28"/>
      <c r="I25" s="28"/>
      <c r="J25" s="25" t="s">
        <v>1713</v>
      </c>
      <c r="K25" t="s">
        <v>1551</v>
      </c>
      <c r="L25" s="287" t="s">
        <v>1712</v>
      </c>
      <c r="M25" s="50"/>
      <c r="N25" s="28"/>
      <c r="P25" s="55" t="s">
        <v>1714</v>
      </c>
      <c r="AA25" s="30" t="s">
        <v>1715</v>
      </c>
      <c r="AB25" s="34" t="s">
        <v>1716</v>
      </c>
    </row>
    <row r="26" spans="1:29">
      <c r="A26" s="26" t="s">
        <v>1717</v>
      </c>
      <c r="B26" s="27" t="s">
        <v>319</v>
      </c>
      <c r="C26" s="27"/>
      <c r="D26" s="27"/>
      <c r="E26" s="27"/>
      <c r="F26" s="27"/>
      <c r="G26" s="27"/>
      <c r="H26" s="27"/>
      <c r="I26" s="27"/>
      <c r="J26" s="27"/>
      <c r="K26" s="27"/>
      <c r="L26" s="27"/>
      <c r="M26" s="49"/>
      <c r="N26" s="27"/>
      <c r="P26" s="27"/>
      <c r="AA26" s="31" t="s">
        <v>1718</v>
      </c>
      <c r="AB26" s="34" t="s">
        <v>1719</v>
      </c>
    </row>
    <row r="27" spans="1:29">
      <c r="A27" s="54" t="s">
        <v>1720</v>
      </c>
      <c r="B27" t="s">
        <v>180</v>
      </c>
      <c r="C27" t="s">
        <v>1721</v>
      </c>
      <c r="D27" t="s">
        <v>1721</v>
      </c>
      <c r="E27" t="s">
        <v>1722</v>
      </c>
      <c r="F27" t="s">
        <v>1551</v>
      </c>
      <c r="G27" t="s">
        <v>1723</v>
      </c>
      <c r="H27" t="s">
        <v>1551</v>
      </c>
      <c r="J27" t="s">
        <v>1724</v>
      </c>
      <c r="K27" t="s">
        <v>1551</v>
      </c>
      <c r="L27" t="s">
        <v>1551</v>
      </c>
      <c r="M27" s="29" t="s">
        <v>1725</v>
      </c>
      <c r="N27" t="s">
        <v>1551</v>
      </c>
      <c r="AA27" s="30" t="s">
        <v>1726</v>
      </c>
      <c r="AB27" s="33" t="s">
        <v>1727</v>
      </c>
    </row>
    <row r="28" spans="1:29" ht="27.75">
      <c r="A28" s="54" t="s">
        <v>385</v>
      </c>
      <c r="B28" t="s">
        <v>180</v>
      </c>
      <c r="C28" t="s">
        <v>1728</v>
      </c>
      <c r="D28" t="s">
        <v>1729</v>
      </c>
      <c r="E28" t="s">
        <v>1730</v>
      </c>
      <c r="F28" t="s">
        <v>1731</v>
      </c>
      <c r="J28" t="s">
        <v>1732</v>
      </c>
      <c r="K28" t="s">
        <v>1551</v>
      </c>
      <c r="L28" t="s">
        <v>1733</v>
      </c>
      <c r="M28" s="29" t="s">
        <v>1734</v>
      </c>
      <c r="O28" t="s">
        <v>1735</v>
      </c>
      <c r="P28" s="45" t="s">
        <v>1736</v>
      </c>
      <c r="W28" t="s">
        <v>1737</v>
      </c>
      <c r="X28" t="s">
        <v>1738</v>
      </c>
      <c r="AA28" t="s">
        <v>1718</v>
      </c>
      <c r="AB28" t="s">
        <v>1739</v>
      </c>
      <c r="AC28" s="56" t="s">
        <v>1740</v>
      </c>
    </row>
    <row r="29" spans="1:29" ht="48" customHeight="1">
      <c r="A29" s="54" t="s">
        <v>367</v>
      </c>
      <c r="B29" t="s">
        <v>180</v>
      </c>
      <c r="C29" t="s">
        <v>1741</v>
      </c>
      <c r="D29" t="s">
        <v>1742</v>
      </c>
      <c r="E29" t="s">
        <v>1743</v>
      </c>
      <c r="F29" t="s">
        <v>1551</v>
      </c>
      <c r="G29" s="57" t="s">
        <v>1551</v>
      </c>
      <c r="H29" t="s">
        <v>1551</v>
      </c>
      <c r="J29" t="s">
        <v>1744</v>
      </c>
      <c r="K29" t="s">
        <v>1551</v>
      </c>
      <c r="L29" t="s">
        <v>1745</v>
      </c>
      <c r="M29" s="29" t="s">
        <v>1746</v>
      </c>
      <c r="O29" t="s">
        <v>1735</v>
      </c>
      <c r="U29" t="s">
        <v>1747</v>
      </c>
      <c r="W29" t="s">
        <v>1748</v>
      </c>
      <c r="X29" s="45" t="s">
        <v>1749</v>
      </c>
      <c r="AA29" s="31" t="s">
        <v>1750</v>
      </c>
      <c r="AB29" t="s">
        <v>1751</v>
      </c>
    </row>
    <row r="30" spans="1:29" ht="27.75">
      <c r="A30" s="54" t="s">
        <v>1752</v>
      </c>
      <c r="B30" t="s">
        <v>180</v>
      </c>
      <c r="C30" t="s">
        <v>1551</v>
      </c>
      <c r="D30" t="s">
        <v>1753</v>
      </c>
      <c r="E30" t="s">
        <v>1754</v>
      </c>
      <c r="F30" t="s">
        <v>1551</v>
      </c>
      <c r="G30" s="57" t="s">
        <v>1551</v>
      </c>
      <c r="H30" t="s">
        <v>1551</v>
      </c>
      <c r="J30" t="s">
        <v>1755</v>
      </c>
      <c r="K30" t="s">
        <v>1551</v>
      </c>
      <c r="L30" t="s">
        <v>1756</v>
      </c>
      <c r="N30" s="45" t="s">
        <v>1757</v>
      </c>
      <c r="AA30" s="31" t="s">
        <v>1758</v>
      </c>
      <c r="AB30" t="s">
        <v>1759</v>
      </c>
      <c r="AC30" s="56" t="s">
        <v>1760</v>
      </c>
    </row>
    <row r="31" spans="1:29">
      <c r="A31" s="58" t="s">
        <v>1761</v>
      </c>
      <c r="B31" t="s">
        <v>180</v>
      </c>
      <c r="F31" t="s">
        <v>1551</v>
      </c>
      <c r="K31" t="s">
        <v>1551</v>
      </c>
      <c r="AA31" s="30" t="s">
        <v>1762</v>
      </c>
      <c r="AB31" t="s">
        <v>1763</v>
      </c>
    </row>
    <row r="32" spans="1:29">
      <c r="A32" s="58" t="s">
        <v>1764</v>
      </c>
      <c r="B32" t="s">
        <v>180</v>
      </c>
      <c r="C32" t="s">
        <v>1765</v>
      </c>
      <c r="F32" t="s">
        <v>1551</v>
      </c>
      <c r="K32" t="s">
        <v>1551</v>
      </c>
      <c r="AA32" s="31" t="s">
        <v>1766</v>
      </c>
      <c r="AB32" s="25" t="s">
        <v>1767</v>
      </c>
      <c r="AC32" s="56" t="s">
        <v>1768</v>
      </c>
    </row>
    <row r="33" spans="1:29" ht="61.5" customHeight="1">
      <c r="A33" s="58" t="s">
        <v>1769</v>
      </c>
      <c r="B33" t="s">
        <v>180</v>
      </c>
      <c r="C33" t="s">
        <v>1770</v>
      </c>
      <c r="F33" t="s">
        <v>1551</v>
      </c>
      <c r="G33" t="s">
        <v>1771</v>
      </c>
      <c r="J33" t="s">
        <v>1772</v>
      </c>
      <c r="K33" t="s">
        <v>1773</v>
      </c>
      <c r="L33" t="s">
        <v>1774</v>
      </c>
      <c r="N33" t="s">
        <v>1775</v>
      </c>
      <c r="P33" s="45" t="s">
        <v>1776</v>
      </c>
      <c r="X33" s="45" t="s">
        <v>1777</v>
      </c>
      <c r="AA33" s="30" t="s">
        <v>1671</v>
      </c>
      <c r="AB33" t="s">
        <v>1778</v>
      </c>
    </row>
    <row r="34" spans="1:29">
      <c r="A34" s="58" t="s">
        <v>1779</v>
      </c>
      <c r="B34" t="s">
        <v>180</v>
      </c>
      <c r="F34" t="s">
        <v>1551</v>
      </c>
      <c r="K34" t="s">
        <v>1551</v>
      </c>
      <c r="AA34" s="31" t="s">
        <v>1653</v>
      </c>
      <c r="AB34" t="s">
        <v>1780</v>
      </c>
    </row>
    <row r="35" spans="1:29">
      <c r="A35" s="58" t="s">
        <v>1781</v>
      </c>
      <c r="B35" t="s">
        <v>180</v>
      </c>
      <c r="F35" t="s">
        <v>1551</v>
      </c>
      <c r="K35" t="s">
        <v>1551</v>
      </c>
      <c r="AA35" s="30" t="s">
        <v>1782</v>
      </c>
      <c r="AB35" t="s">
        <v>1783</v>
      </c>
    </row>
    <row r="36" spans="1:29" ht="94.5">
      <c r="A36" s="58" t="s">
        <v>1784</v>
      </c>
      <c r="B36" t="s">
        <v>180</v>
      </c>
      <c r="C36" t="s">
        <v>1785</v>
      </c>
      <c r="F36" t="s">
        <v>1551</v>
      </c>
      <c r="G36" t="s">
        <v>1786</v>
      </c>
      <c r="K36" t="s">
        <v>1551</v>
      </c>
      <c r="N36" t="s">
        <v>1787</v>
      </c>
      <c r="AA36" s="31" t="s">
        <v>1653</v>
      </c>
      <c r="AB36" t="s">
        <v>1788</v>
      </c>
      <c r="AC36" s="45" t="s">
        <v>1789</v>
      </c>
    </row>
    <row r="37" spans="1:29">
      <c r="A37" s="58" t="s">
        <v>1403</v>
      </c>
      <c r="B37" t="s">
        <v>180</v>
      </c>
      <c r="C37" t="s">
        <v>1790</v>
      </c>
      <c r="D37" t="s">
        <v>1791</v>
      </c>
      <c r="E37" t="s">
        <v>1792</v>
      </c>
      <c r="F37" t="s">
        <v>1551</v>
      </c>
      <c r="G37" t="s">
        <v>1793</v>
      </c>
      <c r="J37" t="s">
        <v>1794</v>
      </c>
      <c r="K37" t="s">
        <v>1795</v>
      </c>
      <c r="L37" t="s">
        <v>1796</v>
      </c>
      <c r="AA37" s="30" t="s">
        <v>1797</v>
      </c>
      <c r="AB37" t="s">
        <v>1798</v>
      </c>
    </row>
    <row r="38" spans="1:29" ht="54.75">
      <c r="A38" s="58" t="s">
        <v>391</v>
      </c>
      <c r="B38" t="s">
        <v>180</v>
      </c>
      <c r="F38" t="s">
        <v>1551</v>
      </c>
      <c r="G38" s="45" t="s">
        <v>1799</v>
      </c>
      <c r="K38" t="s">
        <v>1551</v>
      </c>
      <c r="O38" t="s">
        <v>1735</v>
      </c>
      <c r="P38" s="45" t="s">
        <v>1800</v>
      </c>
      <c r="U38" s="45" t="s">
        <v>1801</v>
      </c>
      <c r="W38" s="45" t="s">
        <v>1802</v>
      </c>
      <c r="AA38" s="30" t="s">
        <v>1803</v>
      </c>
      <c r="AB38" t="s">
        <v>1804</v>
      </c>
      <c r="AC38" s="45" t="s">
        <v>1805</v>
      </c>
    </row>
    <row r="39" spans="1:29">
      <c r="A39" s="58" t="s">
        <v>1806</v>
      </c>
      <c r="B39" t="s">
        <v>180</v>
      </c>
      <c r="F39" t="s">
        <v>1551</v>
      </c>
      <c r="K39" t="s">
        <v>1551</v>
      </c>
      <c r="AA39" s="32" t="s">
        <v>1653</v>
      </c>
      <c r="AB39" t="s">
        <v>1807</v>
      </c>
    </row>
    <row r="40" spans="1:29" ht="81" customHeight="1">
      <c r="A40" s="58" t="s">
        <v>380</v>
      </c>
      <c r="B40" t="s">
        <v>180</v>
      </c>
      <c r="C40" t="s">
        <v>1808</v>
      </c>
      <c r="E40" t="s">
        <v>1809</v>
      </c>
      <c r="F40" t="s">
        <v>1551</v>
      </c>
      <c r="G40" t="s">
        <v>1810</v>
      </c>
      <c r="J40" t="s">
        <v>1811</v>
      </c>
      <c r="K40" t="s">
        <v>1812</v>
      </c>
      <c r="M40" s="29" t="s">
        <v>1813</v>
      </c>
      <c r="N40" t="s">
        <v>1814</v>
      </c>
      <c r="O40" t="s">
        <v>1735</v>
      </c>
      <c r="P40" t="s">
        <v>1815</v>
      </c>
      <c r="U40" t="s">
        <v>1816</v>
      </c>
      <c r="X40" t="s">
        <v>1817</v>
      </c>
      <c r="AA40" s="30" t="s">
        <v>1818</v>
      </c>
      <c r="AB40" s="25" t="s">
        <v>1819</v>
      </c>
      <c r="AC40" s="45" t="s">
        <v>1820</v>
      </c>
    </row>
    <row r="41" spans="1:29">
      <c r="A41" s="58" t="s">
        <v>1821</v>
      </c>
      <c r="B41" t="s">
        <v>180</v>
      </c>
      <c r="F41" t="s">
        <v>1551</v>
      </c>
      <c r="K41" t="s">
        <v>1551</v>
      </c>
      <c r="X41" t="s">
        <v>1822</v>
      </c>
      <c r="AA41" t="s">
        <v>122</v>
      </c>
    </row>
    <row r="42" spans="1:29">
      <c r="A42" s="58" t="s">
        <v>1823</v>
      </c>
      <c r="B42" t="s">
        <v>180</v>
      </c>
      <c r="F42" t="s">
        <v>1551</v>
      </c>
      <c r="K42" t="s">
        <v>1551</v>
      </c>
      <c r="AA42" s="30" t="s">
        <v>1824</v>
      </c>
      <c r="AB42" t="s">
        <v>1825</v>
      </c>
    </row>
    <row r="43" spans="1:29">
      <c r="A43" s="59" t="s">
        <v>1826</v>
      </c>
      <c r="B43" t="s">
        <v>180</v>
      </c>
      <c r="F43" t="s">
        <v>1551</v>
      </c>
      <c r="K43" t="s">
        <v>1551</v>
      </c>
      <c r="X43" t="s">
        <v>1827</v>
      </c>
      <c r="AA43" s="32" t="s">
        <v>1653</v>
      </c>
      <c r="AB43" s="25" t="s">
        <v>1828</v>
      </c>
    </row>
    <row r="44" spans="1:29">
      <c r="A44" s="58" t="s">
        <v>1829</v>
      </c>
      <c r="B44" t="s">
        <v>180</v>
      </c>
      <c r="F44" t="s">
        <v>1551</v>
      </c>
      <c r="K44" t="s">
        <v>1551</v>
      </c>
      <c r="AA44" s="32" t="s">
        <v>1653</v>
      </c>
      <c r="AB44" s="25" t="s">
        <v>1830</v>
      </c>
    </row>
    <row r="45" spans="1:29" ht="27.75">
      <c r="A45" s="58" t="s">
        <v>460</v>
      </c>
      <c r="B45" t="s">
        <v>180</v>
      </c>
      <c r="C45" t="s">
        <v>1831</v>
      </c>
      <c r="F45" t="s">
        <v>1551</v>
      </c>
      <c r="K45" t="s">
        <v>1551</v>
      </c>
      <c r="P45" s="1" t="s">
        <v>1832</v>
      </c>
      <c r="W45" t="s">
        <v>1833</v>
      </c>
      <c r="AA45" s="30" t="s">
        <v>1834</v>
      </c>
      <c r="AB45" t="s">
        <v>1835</v>
      </c>
      <c r="AC45" s="45" t="s">
        <v>1836</v>
      </c>
    </row>
    <row r="46" spans="1:29">
      <c r="A46" s="58" t="s">
        <v>1837</v>
      </c>
      <c r="B46" t="s">
        <v>180</v>
      </c>
      <c r="F46" t="s">
        <v>1551</v>
      </c>
      <c r="G46" t="s">
        <v>1838</v>
      </c>
      <c r="J46" t="s">
        <v>1839</v>
      </c>
      <c r="K46" t="s">
        <v>1840</v>
      </c>
      <c r="L46" t="s">
        <v>1841</v>
      </c>
      <c r="N46" t="s">
        <v>1842</v>
      </c>
      <c r="O46" t="s">
        <v>1735</v>
      </c>
      <c r="AA46" s="30" t="s">
        <v>1843</v>
      </c>
      <c r="AB46" t="s">
        <v>1844</v>
      </c>
    </row>
    <row r="47" spans="1:29">
      <c r="A47" s="58" t="s">
        <v>1845</v>
      </c>
      <c r="B47" t="s">
        <v>180</v>
      </c>
      <c r="C47" t="s">
        <v>1846</v>
      </c>
      <c r="F47" t="s">
        <v>1551</v>
      </c>
      <c r="K47" t="s">
        <v>1551</v>
      </c>
      <c r="AA47" s="30" t="s">
        <v>1847</v>
      </c>
      <c r="AB47" t="s">
        <v>1848</v>
      </c>
    </row>
    <row r="48" spans="1:29">
      <c r="A48" s="58" t="s">
        <v>1849</v>
      </c>
      <c r="B48" t="s">
        <v>180</v>
      </c>
      <c r="F48" t="s">
        <v>1551</v>
      </c>
      <c r="K48" t="s">
        <v>1551</v>
      </c>
      <c r="AA48" s="30" t="s">
        <v>1850</v>
      </c>
      <c r="AB48" s="25" t="s">
        <v>1851</v>
      </c>
    </row>
    <row r="49" spans="1:29" ht="41.25">
      <c r="A49" s="58" t="s">
        <v>480</v>
      </c>
      <c r="B49" t="s">
        <v>180</v>
      </c>
      <c r="E49" t="s">
        <v>1852</v>
      </c>
      <c r="F49" t="s">
        <v>1551</v>
      </c>
      <c r="G49" t="s">
        <v>1853</v>
      </c>
      <c r="J49" t="s">
        <v>1854</v>
      </c>
      <c r="K49" t="s">
        <v>1855</v>
      </c>
      <c r="L49" t="s">
        <v>1856</v>
      </c>
      <c r="N49" t="s">
        <v>1857</v>
      </c>
      <c r="O49" t="s">
        <v>1735</v>
      </c>
      <c r="U49" t="s">
        <v>1858</v>
      </c>
      <c r="X49" t="s">
        <v>1859</v>
      </c>
      <c r="AA49" s="30" t="s">
        <v>1860</v>
      </c>
      <c r="AB49" t="s">
        <v>1861</v>
      </c>
      <c r="AC49" s="45" t="s">
        <v>1862</v>
      </c>
    </row>
    <row r="50" spans="1:29">
      <c r="A50" s="58" t="s">
        <v>1383</v>
      </c>
      <c r="B50" t="s">
        <v>180</v>
      </c>
      <c r="C50" t="s">
        <v>1863</v>
      </c>
      <c r="F50" t="s">
        <v>1551</v>
      </c>
      <c r="K50" t="s">
        <v>1551</v>
      </c>
      <c r="AA50" s="31" t="s">
        <v>1864</v>
      </c>
      <c r="AB50" t="s">
        <v>1865</v>
      </c>
    </row>
    <row r="51" spans="1:29">
      <c r="A51" s="26" t="s">
        <v>1866</v>
      </c>
      <c r="B51" s="27" t="s">
        <v>319</v>
      </c>
      <c r="C51" s="27"/>
      <c r="D51" s="27"/>
      <c r="E51" s="27"/>
      <c r="F51" s="27"/>
      <c r="G51" s="27"/>
      <c r="H51" s="27"/>
      <c r="I51" s="27"/>
      <c r="J51" s="27"/>
      <c r="K51" s="27"/>
      <c r="L51" s="27"/>
      <c r="M51" s="49"/>
      <c r="N51" s="27"/>
      <c r="P51" s="27"/>
      <c r="AA51" s="31" t="s">
        <v>1545</v>
      </c>
      <c r="AB51" t="s">
        <v>1867</v>
      </c>
    </row>
    <row r="52" spans="1:29">
      <c r="A52" s="58" t="s">
        <v>1868</v>
      </c>
      <c r="B52" t="s">
        <v>180</v>
      </c>
      <c r="C52" t="s">
        <v>1869</v>
      </c>
      <c r="K52" t="s">
        <v>1551</v>
      </c>
      <c r="N52" t="s">
        <v>1870</v>
      </c>
      <c r="AA52" s="30" t="s">
        <v>1871</v>
      </c>
      <c r="AB52" t="s">
        <v>1872</v>
      </c>
    </row>
    <row r="53" spans="1:29" ht="27.75">
      <c r="A53" s="54" t="s">
        <v>483</v>
      </c>
      <c r="B53" t="s">
        <v>180</v>
      </c>
      <c r="J53" t="s">
        <v>1873</v>
      </c>
      <c r="K53" t="s">
        <v>1874</v>
      </c>
      <c r="L53" t="s">
        <v>1875</v>
      </c>
      <c r="M53" s="29" t="s">
        <v>1876</v>
      </c>
      <c r="O53" t="s">
        <v>1877</v>
      </c>
      <c r="P53" t="s">
        <v>1878</v>
      </c>
      <c r="X53" s="45" t="s">
        <v>1879</v>
      </c>
      <c r="AA53" s="30" t="s">
        <v>1880</v>
      </c>
      <c r="AB53" t="s">
        <v>1881</v>
      </c>
      <c r="AC53" s="45" t="s">
        <v>1882</v>
      </c>
    </row>
    <row r="54" spans="1:29">
      <c r="A54" s="58" t="s">
        <v>1883</v>
      </c>
      <c r="B54" t="s">
        <v>180</v>
      </c>
      <c r="K54" t="s">
        <v>1551</v>
      </c>
      <c r="N54" t="s">
        <v>1884</v>
      </c>
      <c r="AA54" s="30" t="s">
        <v>1885</v>
      </c>
      <c r="AB54" t="s">
        <v>1886</v>
      </c>
    </row>
    <row r="55" spans="1:29" ht="27.75">
      <c r="A55" s="58" t="s">
        <v>498</v>
      </c>
      <c r="B55" t="s">
        <v>180</v>
      </c>
      <c r="C55" t="s">
        <v>1887</v>
      </c>
      <c r="K55" t="s">
        <v>1551</v>
      </c>
      <c r="W55" s="45" t="s">
        <v>1888</v>
      </c>
      <c r="AA55" s="30" t="s">
        <v>1889</v>
      </c>
      <c r="AB55" s="25" t="s">
        <v>1890</v>
      </c>
    </row>
    <row r="56" spans="1:29">
      <c r="A56" s="58" t="s">
        <v>1891</v>
      </c>
      <c r="B56" t="s">
        <v>180</v>
      </c>
      <c r="K56" t="s">
        <v>1551</v>
      </c>
      <c r="AA56" s="30" t="s">
        <v>1892</v>
      </c>
      <c r="AB56" t="s">
        <v>1893</v>
      </c>
    </row>
    <row r="57" spans="1:29">
      <c r="A57" s="58" t="s">
        <v>501</v>
      </c>
      <c r="B57" t="s">
        <v>180</v>
      </c>
      <c r="K57" t="s">
        <v>1551</v>
      </c>
      <c r="Y57" t="s">
        <v>1894</v>
      </c>
      <c r="AA57" s="30" t="s">
        <v>1847</v>
      </c>
      <c r="AB57" t="s">
        <v>1895</v>
      </c>
    </row>
    <row r="58" spans="1:29">
      <c r="A58" s="58" t="s">
        <v>1896</v>
      </c>
      <c r="B58" t="s">
        <v>180</v>
      </c>
      <c r="C58" t="s">
        <v>1897</v>
      </c>
      <c r="K58" t="s">
        <v>1551</v>
      </c>
      <c r="X58" t="s">
        <v>1898</v>
      </c>
      <c r="AA58" s="30" t="s">
        <v>1545</v>
      </c>
      <c r="AB58" s="25" t="s">
        <v>1899</v>
      </c>
      <c r="AC58" t="s">
        <v>1900</v>
      </c>
    </row>
    <row r="59" spans="1:29">
      <c r="A59" s="58" t="s">
        <v>1418</v>
      </c>
      <c r="B59" t="s">
        <v>180</v>
      </c>
      <c r="C59" t="s">
        <v>1901</v>
      </c>
      <c r="K59" t="s">
        <v>1551</v>
      </c>
      <c r="X59" t="s">
        <v>1902</v>
      </c>
      <c r="AA59" s="37" t="s">
        <v>1903</v>
      </c>
      <c r="AB59" t="s">
        <v>1904</v>
      </c>
    </row>
    <row r="60" spans="1:29">
      <c r="A60" s="58" t="s">
        <v>1905</v>
      </c>
      <c r="B60" t="s">
        <v>180</v>
      </c>
      <c r="C60" t="s">
        <v>1906</v>
      </c>
      <c r="K60" t="s">
        <v>1551</v>
      </c>
      <c r="AA60" s="30" t="s">
        <v>1907</v>
      </c>
      <c r="AB60" s="25" t="s">
        <v>1908</v>
      </c>
    </row>
    <row r="61" spans="1:29">
      <c r="A61" s="117" t="s">
        <v>1909</v>
      </c>
      <c r="B61" t="s">
        <v>180</v>
      </c>
      <c r="K61" t="s">
        <v>1551</v>
      </c>
      <c r="N61" t="s">
        <v>1910</v>
      </c>
      <c r="AA61" s="30" t="s">
        <v>1911</v>
      </c>
      <c r="AB61" s="25" t="s">
        <v>1912</v>
      </c>
    </row>
    <row r="62" spans="1:29">
      <c r="A62" s="117" t="s">
        <v>1913</v>
      </c>
      <c r="B62" t="s">
        <v>180</v>
      </c>
      <c r="C62" t="s">
        <v>1914</v>
      </c>
      <c r="K62" t="s">
        <v>1551</v>
      </c>
      <c r="N62" t="s">
        <v>1915</v>
      </c>
      <c r="AA62" t="s">
        <v>122</v>
      </c>
      <c r="AB62" t="s">
        <v>1916</v>
      </c>
    </row>
    <row r="63" spans="1:29">
      <c r="A63" s="117" t="s">
        <v>1917</v>
      </c>
      <c r="B63" t="s">
        <v>180</v>
      </c>
      <c r="C63" t="s">
        <v>1918</v>
      </c>
      <c r="K63" t="s">
        <v>1551</v>
      </c>
      <c r="X63" t="s">
        <v>1919</v>
      </c>
      <c r="AA63" t="s">
        <v>122</v>
      </c>
      <c r="AB63" s="25" t="s">
        <v>1920</v>
      </c>
    </row>
    <row r="64" spans="1:29">
      <c r="A64" s="117" t="s">
        <v>1279</v>
      </c>
      <c r="B64" t="s">
        <v>180</v>
      </c>
      <c r="C64" t="s">
        <v>1921</v>
      </c>
      <c r="K64" t="s">
        <v>1551</v>
      </c>
      <c r="W64" s="45"/>
      <c r="AA64" s="37" t="s">
        <v>1922</v>
      </c>
      <c r="AB64" s="25" t="s">
        <v>1923</v>
      </c>
      <c r="AC64" t="s">
        <v>1924</v>
      </c>
    </row>
    <row r="65" spans="1:29">
      <c r="A65" s="117" t="s">
        <v>1925</v>
      </c>
      <c r="B65" t="s">
        <v>180</v>
      </c>
      <c r="K65" t="s">
        <v>1551</v>
      </c>
      <c r="AA65" s="30" t="s">
        <v>1926</v>
      </c>
      <c r="AB65" s="25" t="s">
        <v>1927</v>
      </c>
    </row>
    <row r="66" spans="1:29">
      <c r="A66" s="117" t="s">
        <v>1928</v>
      </c>
      <c r="B66" t="s">
        <v>180</v>
      </c>
      <c r="C66" t="s">
        <v>1929</v>
      </c>
      <c r="K66" t="s">
        <v>1551</v>
      </c>
      <c r="AA66" t="s">
        <v>122</v>
      </c>
      <c r="AB66" s="25" t="s">
        <v>1930</v>
      </c>
    </row>
    <row r="67" spans="1:29">
      <c r="A67" s="117" t="s">
        <v>1931</v>
      </c>
      <c r="B67" t="s">
        <v>180</v>
      </c>
      <c r="C67" t="s">
        <v>1932</v>
      </c>
      <c r="K67" t="s">
        <v>1551</v>
      </c>
      <c r="AA67" s="30" t="s">
        <v>1933</v>
      </c>
      <c r="AB67" s="38" t="s">
        <v>1934</v>
      </c>
    </row>
    <row r="68" spans="1:29" ht="27.75">
      <c r="A68" s="117" t="s">
        <v>526</v>
      </c>
      <c r="B68" t="s">
        <v>180</v>
      </c>
      <c r="G68" s="45" t="s">
        <v>1935</v>
      </c>
      <c r="K68" t="s">
        <v>1551</v>
      </c>
      <c r="O68" t="s">
        <v>1735</v>
      </c>
      <c r="W68" t="s">
        <v>525</v>
      </c>
      <c r="AA68" t="s">
        <v>122</v>
      </c>
      <c r="AB68" s="39" t="s">
        <v>1936</v>
      </c>
    </row>
    <row r="69" spans="1:29" ht="27.75">
      <c r="A69" s="117" t="s">
        <v>529</v>
      </c>
      <c r="B69" t="s">
        <v>180</v>
      </c>
      <c r="C69" t="s">
        <v>1937</v>
      </c>
      <c r="K69" t="s">
        <v>1551</v>
      </c>
      <c r="P69" s="45" t="s">
        <v>1938</v>
      </c>
      <c r="W69" t="s">
        <v>1939</v>
      </c>
      <c r="AA69" s="30" t="s">
        <v>1940</v>
      </c>
      <c r="AB69" s="25" t="s">
        <v>1941</v>
      </c>
    </row>
    <row r="70" spans="1:29">
      <c r="A70" s="117" t="s">
        <v>1942</v>
      </c>
      <c r="B70" t="s">
        <v>180</v>
      </c>
      <c r="G70" t="s">
        <v>1943</v>
      </c>
      <c r="K70" t="s">
        <v>1551</v>
      </c>
      <c r="N70" t="s">
        <v>1944</v>
      </c>
      <c r="W70" t="s">
        <v>1945</v>
      </c>
      <c r="X70" t="s">
        <v>1946</v>
      </c>
      <c r="AA70" t="s">
        <v>122</v>
      </c>
      <c r="AB70" s="39" t="s">
        <v>1947</v>
      </c>
    </row>
    <row r="71" spans="1:29">
      <c r="A71" s="26" t="s">
        <v>1948</v>
      </c>
      <c r="B71" s="27" t="s">
        <v>319</v>
      </c>
      <c r="C71" s="27"/>
      <c r="D71" s="27"/>
      <c r="E71" s="27"/>
      <c r="F71" s="27"/>
      <c r="G71" s="27"/>
      <c r="H71" s="27"/>
      <c r="I71" s="27"/>
      <c r="J71" s="27"/>
      <c r="K71" s="27"/>
      <c r="L71" s="27"/>
      <c r="M71" s="49"/>
      <c r="N71" s="27"/>
      <c r="P71" s="27"/>
      <c r="AA71" t="s">
        <v>122</v>
      </c>
      <c r="AB71" s="25" t="s">
        <v>1949</v>
      </c>
    </row>
    <row r="72" spans="1:29">
      <c r="A72" s="117" t="s">
        <v>1950</v>
      </c>
      <c r="B72" t="s">
        <v>180</v>
      </c>
      <c r="G72" t="s">
        <v>1951</v>
      </c>
      <c r="K72" t="s">
        <v>1551</v>
      </c>
      <c r="AA72" s="30" t="s">
        <v>1952</v>
      </c>
      <c r="AB72" s="25" t="s">
        <v>1953</v>
      </c>
    </row>
    <row r="73" spans="1:29">
      <c r="A73" s="117" t="s">
        <v>1954</v>
      </c>
      <c r="B73" t="s">
        <v>180</v>
      </c>
      <c r="K73" t="s">
        <v>1551</v>
      </c>
      <c r="AA73" t="s">
        <v>122</v>
      </c>
      <c r="AB73" s="25" t="s">
        <v>1955</v>
      </c>
    </row>
    <row r="74" spans="1:29" ht="27.75">
      <c r="A74" s="117" t="s">
        <v>1956</v>
      </c>
      <c r="B74" t="s">
        <v>180</v>
      </c>
      <c r="G74" t="s">
        <v>1957</v>
      </c>
      <c r="K74" t="s">
        <v>1551</v>
      </c>
      <c r="N74" t="s">
        <v>1958</v>
      </c>
      <c r="O74" s="45" t="s">
        <v>1959</v>
      </c>
      <c r="X74" t="s">
        <v>1960</v>
      </c>
      <c r="AA74" s="32" t="s">
        <v>1961</v>
      </c>
      <c r="AB74" t="s">
        <v>1962</v>
      </c>
    </row>
    <row r="75" spans="1:29">
      <c r="A75" s="117" t="s">
        <v>1963</v>
      </c>
      <c r="B75" t="s">
        <v>180</v>
      </c>
      <c r="C75" t="s">
        <v>1964</v>
      </c>
      <c r="K75" t="s">
        <v>1551</v>
      </c>
      <c r="X75" t="s">
        <v>1965</v>
      </c>
      <c r="AA75" s="30" t="s">
        <v>1966</v>
      </c>
      <c r="AB75" s="25" t="s">
        <v>1967</v>
      </c>
    </row>
    <row r="76" spans="1:29" ht="60.75" customHeight="1">
      <c r="A76" s="54" t="s">
        <v>117</v>
      </c>
      <c r="B76" t="s">
        <v>180</v>
      </c>
      <c r="C76" t="s">
        <v>1968</v>
      </c>
      <c r="D76" t="s">
        <v>1969</v>
      </c>
      <c r="E76" t="s">
        <v>1970</v>
      </c>
      <c r="G76" t="s">
        <v>1971</v>
      </c>
      <c r="H76" s="45" t="s">
        <v>1972</v>
      </c>
      <c r="J76" t="s">
        <v>1973</v>
      </c>
      <c r="K76" t="s">
        <v>1974</v>
      </c>
      <c r="M76" s="29" t="s">
        <v>1975</v>
      </c>
      <c r="P76" t="s">
        <v>1976</v>
      </c>
      <c r="W76" s="45" t="s">
        <v>1977</v>
      </c>
      <c r="AA76" s="30" t="s">
        <v>1978</v>
      </c>
      <c r="AC76" t="s">
        <v>1979</v>
      </c>
    </row>
    <row r="77" spans="1:29">
      <c r="A77" s="26" t="s">
        <v>1980</v>
      </c>
      <c r="B77" s="27" t="s">
        <v>319</v>
      </c>
      <c r="C77" s="27"/>
      <c r="D77" s="27"/>
      <c r="E77" s="27"/>
      <c r="F77" s="27"/>
      <c r="G77" s="27"/>
      <c r="H77" s="27"/>
      <c r="I77" s="27"/>
      <c r="J77" s="27"/>
      <c r="K77" s="27"/>
      <c r="L77" s="27"/>
      <c r="M77" s="49"/>
      <c r="N77" s="27"/>
      <c r="P77" s="27"/>
      <c r="AA77" s="37" t="s">
        <v>1981</v>
      </c>
      <c r="AB77" s="25" t="s">
        <v>1982</v>
      </c>
    </row>
    <row r="78" spans="1:29">
      <c r="A78" s="26" t="s">
        <v>1983</v>
      </c>
      <c r="B78" s="27" t="s">
        <v>319</v>
      </c>
      <c r="C78" s="27"/>
      <c r="D78" s="27"/>
      <c r="E78" s="27"/>
      <c r="F78" s="27"/>
      <c r="G78" s="27"/>
      <c r="H78" s="27"/>
      <c r="I78" s="27"/>
      <c r="J78" s="27"/>
      <c r="K78" s="27"/>
      <c r="L78" s="27"/>
      <c r="M78" s="49"/>
      <c r="N78" s="27"/>
      <c r="P78" s="27"/>
      <c r="AA78" s="41" t="s">
        <v>1984</v>
      </c>
      <c r="AB78" s="25" t="s">
        <v>1985</v>
      </c>
    </row>
    <row r="79" spans="1:29">
      <c r="A79" s="117" t="s">
        <v>1986</v>
      </c>
      <c r="B79" t="s">
        <v>180</v>
      </c>
      <c r="C79" t="s">
        <v>1987</v>
      </c>
      <c r="K79" t="s">
        <v>1551</v>
      </c>
      <c r="X79" t="s">
        <v>1988</v>
      </c>
      <c r="AA79" s="30" t="s">
        <v>1989</v>
      </c>
      <c r="AB79" s="25" t="s">
        <v>1990</v>
      </c>
    </row>
    <row r="80" spans="1:29" ht="41.25">
      <c r="A80" s="117" t="s">
        <v>1991</v>
      </c>
      <c r="B80" t="s">
        <v>180</v>
      </c>
      <c r="G80" t="s">
        <v>1992</v>
      </c>
      <c r="K80" t="s">
        <v>1551</v>
      </c>
      <c r="X80" s="45" t="s">
        <v>1993</v>
      </c>
      <c r="AA80" s="30" t="s">
        <v>1966</v>
      </c>
      <c r="AB80" s="25" t="s">
        <v>1994</v>
      </c>
    </row>
    <row r="81" spans="1:29">
      <c r="A81" s="117" t="s">
        <v>1995</v>
      </c>
      <c r="B81" t="s">
        <v>180</v>
      </c>
      <c r="K81" t="s">
        <v>1551</v>
      </c>
      <c r="X81" s="45"/>
      <c r="Y81" t="s">
        <v>1996</v>
      </c>
      <c r="AA81" s="37" t="s">
        <v>1997</v>
      </c>
      <c r="AB81" t="s">
        <v>1998</v>
      </c>
    </row>
    <row r="82" spans="1:29">
      <c r="A82" s="117" t="s">
        <v>1999</v>
      </c>
      <c r="B82" t="s">
        <v>180</v>
      </c>
      <c r="C82" t="s">
        <v>2000</v>
      </c>
      <c r="G82" t="s">
        <v>2001</v>
      </c>
      <c r="K82" t="s">
        <v>1551</v>
      </c>
      <c r="AA82" s="32" t="s">
        <v>2002</v>
      </c>
      <c r="AB82" s="25" t="s">
        <v>2003</v>
      </c>
    </row>
    <row r="83" spans="1:29">
      <c r="A83" s="117" t="s">
        <v>1315</v>
      </c>
      <c r="B83" t="s">
        <v>180</v>
      </c>
      <c r="C83" t="s">
        <v>2004</v>
      </c>
      <c r="K83" t="s">
        <v>1551</v>
      </c>
      <c r="X83" t="s">
        <v>2005</v>
      </c>
      <c r="AA83" s="30" t="s">
        <v>2006</v>
      </c>
      <c r="AB83" s="25" t="s">
        <v>2007</v>
      </c>
    </row>
    <row r="84" spans="1:29">
      <c r="A84" s="117" t="s">
        <v>2008</v>
      </c>
      <c r="B84" t="s">
        <v>180</v>
      </c>
      <c r="K84" t="s">
        <v>1551</v>
      </c>
      <c r="AA84" t="s">
        <v>122</v>
      </c>
      <c r="AB84" s="25" t="s">
        <v>2009</v>
      </c>
    </row>
    <row r="85" spans="1:29">
      <c r="A85" s="117" t="s">
        <v>2010</v>
      </c>
      <c r="B85" t="s">
        <v>180</v>
      </c>
      <c r="K85" t="s">
        <v>1551</v>
      </c>
      <c r="AA85" s="32" t="s">
        <v>1545</v>
      </c>
      <c r="AB85" s="25" t="s">
        <v>2011</v>
      </c>
    </row>
    <row r="86" spans="1:29">
      <c r="A86" s="117" t="s">
        <v>2012</v>
      </c>
      <c r="B86" t="s">
        <v>180</v>
      </c>
      <c r="C86" t="s">
        <v>2013</v>
      </c>
      <c r="K86" t="s">
        <v>1551</v>
      </c>
      <c r="AA86" t="s">
        <v>122</v>
      </c>
      <c r="AB86" s="25" t="s">
        <v>2014</v>
      </c>
    </row>
    <row r="87" spans="1:29">
      <c r="A87" s="117" t="s">
        <v>2015</v>
      </c>
      <c r="B87" t="s">
        <v>180</v>
      </c>
      <c r="G87" t="s">
        <v>2016</v>
      </c>
      <c r="K87" t="s">
        <v>1551</v>
      </c>
      <c r="AA87" t="s">
        <v>122</v>
      </c>
      <c r="AB87" s="25" t="s">
        <v>2017</v>
      </c>
    </row>
    <row r="88" spans="1:29">
      <c r="A88" s="117" t="s">
        <v>2018</v>
      </c>
      <c r="B88" t="s">
        <v>180</v>
      </c>
      <c r="K88" t="s">
        <v>1551</v>
      </c>
      <c r="AA88" s="32" t="s">
        <v>1545</v>
      </c>
      <c r="AB88" s="25" t="s">
        <v>2019</v>
      </c>
    </row>
    <row r="89" spans="1:29" ht="72" customHeight="1">
      <c r="A89" s="117" t="s">
        <v>1289</v>
      </c>
      <c r="B89" t="s">
        <v>180</v>
      </c>
      <c r="C89" t="s">
        <v>2020</v>
      </c>
      <c r="J89" t="s">
        <v>2021</v>
      </c>
      <c r="K89" t="s">
        <v>2022</v>
      </c>
      <c r="O89" t="s">
        <v>1735</v>
      </c>
      <c r="P89" s="114" t="s">
        <v>2023</v>
      </c>
      <c r="U89" s="40" t="s">
        <v>2024</v>
      </c>
      <c r="Z89" s="45" t="s">
        <v>2025</v>
      </c>
      <c r="AA89" s="43" t="s">
        <v>2026</v>
      </c>
      <c r="AB89" s="25" t="s">
        <v>2027</v>
      </c>
      <c r="AC89" t="s">
        <v>2028</v>
      </c>
    </row>
    <row r="90" spans="1:29">
      <c r="A90" s="117" t="s">
        <v>2029</v>
      </c>
      <c r="B90" t="s">
        <v>180</v>
      </c>
      <c r="G90" t="s">
        <v>2030</v>
      </c>
      <c r="K90" t="s">
        <v>1551</v>
      </c>
      <c r="AA90" s="32" t="s">
        <v>1545</v>
      </c>
      <c r="AB90" s="25" t="s">
        <v>2031</v>
      </c>
    </row>
    <row r="91" spans="1:29" ht="27.75">
      <c r="A91" s="117" t="s">
        <v>1337</v>
      </c>
      <c r="B91" t="s">
        <v>180</v>
      </c>
      <c r="G91" t="s">
        <v>2032</v>
      </c>
      <c r="K91" t="s">
        <v>1551</v>
      </c>
      <c r="N91" t="s">
        <v>2033</v>
      </c>
      <c r="O91" t="s">
        <v>1735</v>
      </c>
      <c r="P91" s="45" t="s">
        <v>2034</v>
      </c>
      <c r="AA91" s="32" t="s">
        <v>1545</v>
      </c>
      <c r="AB91" s="25" t="s">
        <v>2035</v>
      </c>
    </row>
    <row r="92" spans="1:29" ht="27.75">
      <c r="A92" s="117" t="s">
        <v>1424</v>
      </c>
      <c r="B92" t="s">
        <v>180</v>
      </c>
      <c r="C92" t="s">
        <v>2036</v>
      </c>
      <c r="K92" t="s">
        <v>1551</v>
      </c>
      <c r="X92" s="45" t="s">
        <v>2037</v>
      </c>
      <c r="AA92" t="s">
        <v>122</v>
      </c>
      <c r="AB92" t="s">
        <v>2038</v>
      </c>
    </row>
    <row r="93" spans="1:29" ht="27.75">
      <c r="A93" s="117" t="s">
        <v>1319</v>
      </c>
      <c r="B93" t="s">
        <v>180</v>
      </c>
      <c r="K93" t="s">
        <v>1551</v>
      </c>
      <c r="W93" s="45" t="s">
        <v>2039</v>
      </c>
      <c r="AA93" s="32" t="s">
        <v>1545</v>
      </c>
      <c r="AB93" s="25" t="s">
        <v>2040</v>
      </c>
    </row>
    <row r="94" spans="1:29" ht="41.25">
      <c r="A94" s="117" t="s">
        <v>2041</v>
      </c>
      <c r="B94" t="s">
        <v>180</v>
      </c>
      <c r="K94" t="s">
        <v>1551</v>
      </c>
      <c r="X94" s="45" t="s">
        <v>2042</v>
      </c>
      <c r="AA94" t="s">
        <v>122</v>
      </c>
      <c r="AB94" s="25" t="s">
        <v>2043</v>
      </c>
    </row>
    <row r="95" spans="1:29">
      <c r="A95" s="54" t="s">
        <v>1512</v>
      </c>
      <c r="B95" t="s">
        <v>180</v>
      </c>
      <c r="K95" t="s">
        <v>2044</v>
      </c>
      <c r="AA95" s="32" t="s">
        <v>2045</v>
      </c>
      <c r="AB95" s="25" t="s">
        <v>2046</v>
      </c>
    </row>
    <row r="96" spans="1:29" ht="41.25">
      <c r="A96" s="117" t="s">
        <v>703</v>
      </c>
      <c r="B96" t="s">
        <v>180</v>
      </c>
      <c r="G96" s="24" t="s">
        <v>2047</v>
      </c>
      <c r="J96" t="s">
        <v>2048</v>
      </c>
      <c r="K96" t="s">
        <v>1551</v>
      </c>
      <c r="N96" t="s">
        <v>2049</v>
      </c>
      <c r="P96" s="24" t="s">
        <v>2050</v>
      </c>
      <c r="W96" s="45" t="s">
        <v>2051</v>
      </c>
      <c r="X96" s="45" t="s">
        <v>2052</v>
      </c>
      <c r="AA96" s="30" t="s">
        <v>2053</v>
      </c>
      <c r="AB96" s="25" t="s">
        <v>2054</v>
      </c>
    </row>
    <row r="97" spans="1:29" ht="27.75">
      <c r="A97" s="117" t="s">
        <v>706</v>
      </c>
      <c r="B97" t="s">
        <v>180</v>
      </c>
      <c r="C97" t="s">
        <v>2055</v>
      </c>
      <c r="K97" t="s">
        <v>1551</v>
      </c>
      <c r="N97" t="s">
        <v>2056</v>
      </c>
      <c r="P97" t="s">
        <v>2057</v>
      </c>
      <c r="W97" s="45" t="s">
        <v>2058</v>
      </c>
      <c r="AA97" s="32" t="s">
        <v>2059</v>
      </c>
      <c r="AB97" s="25" t="s">
        <v>2060</v>
      </c>
    </row>
    <row r="98" spans="1:29" ht="27.75">
      <c r="A98" s="117" t="s">
        <v>2061</v>
      </c>
      <c r="B98" t="s">
        <v>180</v>
      </c>
      <c r="C98" t="s">
        <v>2062</v>
      </c>
      <c r="K98" t="s">
        <v>1551</v>
      </c>
      <c r="N98" s="45" t="s">
        <v>2063</v>
      </c>
      <c r="AA98" t="s">
        <v>2064</v>
      </c>
      <c r="AB98" s="25" t="s">
        <v>2065</v>
      </c>
    </row>
    <row r="99" spans="1:29">
      <c r="A99" s="54" t="s">
        <v>2066</v>
      </c>
      <c r="B99" t="s">
        <v>180</v>
      </c>
      <c r="E99" t="s">
        <v>2067</v>
      </c>
      <c r="G99" t="s">
        <v>2068</v>
      </c>
      <c r="J99" t="s">
        <v>2069</v>
      </c>
      <c r="K99" t="s">
        <v>2070</v>
      </c>
      <c r="AA99" s="30" t="s">
        <v>2071</v>
      </c>
      <c r="AB99" s="25" t="s">
        <v>2072</v>
      </c>
    </row>
    <row r="100" spans="1:29" ht="27.75">
      <c r="A100" s="117" t="s">
        <v>2073</v>
      </c>
      <c r="B100" t="s">
        <v>180</v>
      </c>
      <c r="C100" t="s">
        <v>2074</v>
      </c>
      <c r="K100" t="s">
        <v>1551</v>
      </c>
      <c r="N100" s="45" t="s">
        <v>2075</v>
      </c>
      <c r="AA100" s="32" t="s">
        <v>2076</v>
      </c>
      <c r="AB100" s="25" t="s">
        <v>2077</v>
      </c>
    </row>
    <row r="101" spans="1:29" ht="27.75">
      <c r="A101" s="117" t="s">
        <v>2078</v>
      </c>
      <c r="B101" t="s">
        <v>180</v>
      </c>
      <c r="G101" t="s">
        <v>2079</v>
      </c>
      <c r="K101" t="s">
        <v>1551</v>
      </c>
      <c r="O101" t="s">
        <v>1735</v>
      </c>
      <c r="X101" s="45" t="s">
        <v>2080</v>
      </c>
      <c r="AA101" s="32" t="s">
        <v>2081</v>
      </c>
      <c r="AB101" s="42" t="s">
        <v>2082</v>
      </c>
      <c r="AC101" t="s">
        <v>2083</v>
      </c>
    </row>
    <row r="102" spans="1:29">
      <c r="A102" s="117" t="s">
        <v>2084</v>
      </c>
      <c r="B102" t="s">
        <v>180</v>
      </c>
      <c r="C102" t="s">
        <v>2085</v>
      </c>
      <c r="K102" t="s">
        <v>1551</v>
      </c>
      <c r="AA102" s="37" t="s">
        <v>122</v>
      </c>
      <c r="AB102" t="s">
        <v>2086</v>
      </c>
    </row>
    <row r="103" spans="1:29" ht="41.25">
      <c r="A103" s="117" t="s">
        <v>2087</v>
      </c>
      <c r="B103" t="s">
        <v>180</v>
      </c>
      <c r="G103" t="s">
        <v>2088</v>
      </c>
      <c r="K103" t="s">
        <v>1551</v>
      </c>
      <c r="O103" t="s">
        <v>1735</v>
      </c>
      <c r="T103" s="45" t="s">
        <v>2089</v>
      </c>
      <c r="AA103" s="37" t="s">
        <v>2090</v>
      </c>
      <c r="AB103" t="s">
        <v>2091</v>
      </c>
    </row>
    <row r="104" spans="1:29">
      <c r="A104" s="117" t="s">
        <v>2092</v>
      </c>
      <c r="B104" t="s">
        <v>180</v>
      </c>
      <c r="K104" t="s">
        <v>1551</v>
      </c>
      <c r="AA104" s="37" t="s">
        <v>2093</v>
      </c>
      <c r="AB104" s="42" t="s">
        <v>2094</v>
      </c>
    </row>
    <row r="105" spans="1:29">
      <c r="A105" s="117" t="s">
        <v>2095</v>
      </c>
      <c r="B105" t="s">
        <v>180</v>
      </c>
      <c r="C105" t="s">
        <v>2096</v>
      </c>
      <c r="G105" t="s">
        <v>2097</v>
      </c>
      <c r="K105" t="s">
        <v>1551</v>
      </c>
      <c r="O105" t="s">
        <v>1735</v>
      </c>
      <c r="AA105" s="37" t="s">
        <v>1545</v>
      </c>
      <c r="AB105" s="25" t="s">
        <v>2098</v>
      </c>
    </row>
    <row r="106" spans="1:29">
      <c r="A106" s="117" t="s">
        <v>2099</v>
      </c>
      <c r="B106" t="s">
        <v>180</v>
      </c>
      <c r="C106" t="s">
        <v>2100</v>
      </c>
      <c r="K106" t="s">
        <v>1551</v>
      </c>
      <c r="AA106" s="37" t="s">
        <v>2101</v>
      </c>
      <c r="AB106" s="44">
        <v>4935542057</v>
      </c>
    </row>
    <row r="107" spans="1:29" ht="27.75">
      <c r="A107" s="117" t="s">
        <v>1294</v>
      </c>
      <c r="B107" t="s">
        <v>180</v>
      </c>
      <c r="C107" t="s">
        <v>2102</v>
      </c>
      <c r="K107" t="s">
        <v>1551</v>
      </c>
      <c r="X107" s="45" t="s">
        <v>2103</v>
      </c>
      <c r="AA107" s="37" t="s">
        <v>2104</v>
      </c>
      <c r="AB107" s="25" t="s">
        <v>2105</v>
      </c>
    </row>
    <row r="108" spans="1:29">
      <c r="A108" s="117" t="s">
        <v>2106</v>
      </c>
      <c r="B108" t="s">
        <v>180</v>
      </c>
      <c r="C108" t="s">
        <v>2107</v>
      </c>
      <c r="K108" t="s">
        <v>1551</v>
      </c>
      <c r="AA108" s="30" t="s">
        <v>2108</v>
      </c>
      <c r="AB108" t="s">
        <v>2109</v>
      </c>
    </row>
    <row r="109" spans="1:29" ht="27.75">
      <c r="A109" s="117" t="s">
        <v>2110</v>
      </c>
      <c r="B109" t="s">
        <v>180</v>
      </c>
      <c r="C109" t="s">
        <v>2111</v>
      </c>
      <c r="K109" t="s">
        <v>1551</v>
      </c>
      <c r="X109" s="45" t="s">
        <v>2112</v>
      </c>
      <c r="AA109" s="30" t="s">
        <v>2113</v>
      </c>
      <c r="AB109" t="s">
        <v>2114</v>
      </c>
    </row>
    <row r="110" spans="1:29">
      <c r="A110" s="54" t="s">
        <v>813</v>
      </c>
      <c r="B110" t="s">
        <v>180</v>
      </c>
      <c r="D110" t="s">
        <v>2115</v>
      </c>
      <c r="G110" t="s">
        <v>2116</v>
      </c>
      <c r="K110" t="s">
        <v>2117</v>
      </c>
      <c r="L110" t="s">
        <v>2118</v>
      </c>
      <c r="W110" t="s">
        <v>2119</v>
      </c>
      <c r="AA110" s="30" t="s">
        <v>2120</v>
      </c>
      <c r="AB110" t="s">
        <v>2121</v>
      </c>
    </row>
    <row r="111" spans="1:29">
      <c r="A111" s="117" t="s">
        <v>2122</v>
      </c>
      <c r="B111" t="s">
        <v>180</v>
      </c>
      <c r="C111" t="s">
        <v>2123</v>
      </c>
      <c r="K111" t="s">
        <v>1551</v>
      </c>
      <c r="N111" t="s">
        <v>2124</v>
      </c>
      <c r="P111" s="45" t="s">
        <v>2125</v>
      </c>
      <c r="X111" t="s">
        <v>2126</v>
      </c>
      <c r="AA111" s="30" t="s">
        <v>2127</v>
      </c>
      <c r="AB111" t="s">
        <v>2128</v>
      </c>
    </row>
    <row r="112" spans="1:29">
      <c r="A112" s="54" t="s">
        <v>1371</v>
      </c>
      <c r="B112" t="s">
        <v>180</v>
      </c>
      <c r="C112" t="s">
        <v>2129</v>
      </c>
      <c r="D112" t="s">
        <v>2130</v>
      </c>
      <c r="E112" t="s">
        <v>2131</v>
      </c>
      <c r="J112" t="s">
        <v>2132</v>
      </c>
      <c r="K112" t="s">
        <v>2133</v>
      </c>
      <c r="AA112" s="30" t="s">
        <v>2134</v>
      </c>
      <c r="AB112" t="s">
        <v>2135</v>
      </c>
    </row>
    <row r="113" spans="1:29" ht="27.75">
      <c r="A113" s="117" t="s">
        <v>815</v>
      </c>
      <c r="B113" t="s">
        <v>180</v>
      </c>
      <c r="C113" s="45" t="s">
        <v>2136</v>
      </c>
      <c r="G113" t="s">
        <v>2137</v>
      </c>
      <c r="K113" t="s">
        <v>1551</v>
      </c>
      <c r="N113" t="s">
        <v>2138</v>
      </c>
      <c r="O113" t="s">
        <v>1735</v>
      </c>
      <c r="Q113" t="s">
        <v>2139</v>
      </c>
      <c r="W113" t="s">
        <v>2140</v>
      </c>
      <c r="Y113" t="s">
        <v>2141</v>
      </c>
      <c r="AA113" s="30" t="s">
        <v>2142</v>
      </c>
      <c r="AB113" t="s">
        <v>2143</v>
      </c>
    </row>
    <row r="114" spans="1:29" ht="68.25">
      <c r="A114" s="117" t="s">
        <v>2144</v>
      </c>
      <c r="B114" t="s">
        <v>180</v>
      </c>
      <c r="K114" t="s">
        <v>1551</v>
      </c>
      <c r="P114" s="45" t="s">
        <v>2145</v>
      </c>
      <c r="AA114" s="30" t="s">
        <v>2146</v>
      </c>
      <c r="AB114" t="s">
        <v>2147</v>
      </c>
    </row>
    <row r="115" spans="1:29" ht="27.75">
      <c r="A115" s="117" t="s">
        <v>2148</v>
      </c>
      <c r="B115" t="s">
        <v>180</v>
      </c>
      <c r="C115" t="s">
        <v>2149</v>
      </c>
      <c r="K115" t="s">
        <v>1551</v>
      </c>
      <c r="N115" s="45" t="s">
        <v>2150</v>
      </c>
      <c r="X115" t="s">
        <v>2151</v>
      </c>
      <c r="AA115" s="37" t="s">
        <v>2152</v>
      </c>
      <c r="AB115" t="s">
        <v>2153</v>
      </c>
    </row>
    <row r="116" spans="1:29">
      <c r="A116" s="117" t="s">
        <v>2154</v>
      </c>
      <c r="B116" t="s">
        <v>180</v>
      </c>
      <c r="C116" t="s">
        <v>2155</v>
      </c>
      <c r="K116" t="s">
        <v>1551</v>
      </c>
      <c r="AA116" s="30" t="s">
        <v>2156</v>
      </c>
      <c r="AB116" t="s">
        <v>2157</v>
      </c>
    </row>
    <row r="117" spans="1:29">
      <c r="A117" s="117" t="s">
        <v>2158</v>
      </c>
      <c r="B117" t="s">
        <v>180</v>
      </c>
      <c r="K117" t="s">
        <v>1551</v>
      </c>
      <c r="AA117" s="30" t="s">
        <v>1653</v>
      </c>
      <c r="AB117" t="s">
        <v>2159</v>
      </c>
    </row>
    <row r="118" spans="1:29">
      <c r="A118" s="117" t="s">
        <v>2160</v>
      </c>
      <c r="B118" t="s">
        <v>180</v>
      </c>
      <c r="C118" t="s">
        <v>2161</v>
      </c>
      <c r="G118" t="s">
        <v>2162</v>
      </c>
      <c r="K118" t="s">
        <v>1551</v>
      </c>
      <c r="N118" t="s">
        <v>2162</v>
      </c>
      <c r="AA118" t="s">
        <v>122</v>
      </c>
      <c r="AB118" s="25" t="s">
        <v>2163</v>
      </c>
    </row>
    <row r="119" spans="1:29">
      <c r="A119" s="26" t="s">
        <v>2164</v>
      </c>
      <c r="B119" s="27" t="s">
        <v>319</v>
      </c>
      <c r="C119" s="27"/>
      <c r="D119" s="27"/>
      <c r="E119" s="27"/>
      <c r="F119" s="27"/>
      <c r="G119" s="27"/>
      <c r="H119" s="27"/>
      <c r="I119" s="27"/>
      <c r="J119" s="27"/>
      <c r="K119" s="27"/>
      <c r="L119" s="27"/>
      <c r="M119" s="49"/>
      <c r="N119" s="27"/>
      <c r="P119" s="27"/>
      <c r="AA119" s="37" t="s">
        <v>2165</v>
      </c>
      <c r="AB119" s="25" t="s">
        <v>2166</v>
      </c>
    </row>
    <row r="120" spans="1:29">
      <c r="A120" s="117" t="s">
        <v>2167</v>
      </c>
      <c r="B120" t="s">
        <v>180</v>
      </c>
      <c r="C120" t="s">
        <v>2168</v>
      </c>
      <c r="K120" t="s">
        <v>1551</v>
      </c>
      <c r="X120" t="s">
        <v>2169</v>
      </c>
      <c r="AA120" s="37" t="s">
        <v>2170</v>
      </c>
      <c r="AB120" t="s">
        <v>2171</v>
      </c>
    </row>
    <row r="121" spans="1:29" s="27" customFormat="1">
      <c r="A121" s="26" t="s">
        <v>2172</v>
      </c>
      <c r="B121" s="27" t="s">
        <v>319</v>
      </c>
      <c r="M121" s="49"/>
      <c r="AA121" s="127" t="s">
        <v>2173</v>
      </c>
      <c r="AB121" s="27" t="s">
        <v>2174</v>
      </c>
    </row>
    <row r="122" spans="1:29">
      <c r="A122" s="117" t="s">
        <v>2175</v>
      </c>
      <c r="B122" t="s">
        <v>180</v>
      </c>
      <c r="K122" t="s">
        <v>1551</v>
      </c>
      <c r="N122" t="s">
        <v>2176</v>
      </c>
      <c r="AA122" s="30" t="s">
        <v>2177</v>
      </c>
      <c r="AB122" t="s">
        <v>2178</v>
      </c>
    </row>
    <row r="123" spans="1:29">
      <c r="A123" s="117" t="s">
        <v>2179</v>
      </c>
      <c r="B123" t="s">
        <v>180</v>
      </c>
      <c r="G123" t="s">
        <v>2180</v>
      </c>
      <c r="K123" t="s">
        <v>1551</v>
      </c>
      <c r="AA123" s="30" t="s">
        <v>2181</v>
      </c>
      <c r="AB123" t="s">
        <v>2182</v>
      </c>
    </row>
    <row r="124" spans="1:29" ht="27.75">
      <c r="A124" s="117" t="s">
        <v>913</v>
      </c>
      <c r="B124" t="s">
        <v>180</v>
      </c>
      <c r="K124" t="s">
        <v>1551</v>
      </c>
      <c r="N124" s="45" t="s">
        <v>2183</v>
      </c>
      <c r="Y124" t="s">
        <v>2184</v>
      </c>
      <c r="AA124" t="s">
        <v>122</v>
      </c>
      <c r="AB124" t="s">
        <v>2185</v>
      </c>
    </row>
    <row r="125" spans="1:29">
      <c r="A125" s="117" t="s">
        <v>2186</v>
      </c>
      <c r="B125" t="s">
        <v>180</v>
      </c>
      <c r="C125" t="s">
        <v>2187</v>
      </c>
      <c r="K125" t="s">
        <v>1551</v>
      </c>
      <c r="N125" t="s">
        <v>2188</v>
      </c>
      <c r="AA125" s="37" t="s">
        <v>2189</v>
      </c>
      <c r="AB125" t="s">
        <v>2190</v>
      </c>
    </row>
    <row r="126" spans="1:29">
      <c r="A126" s="117" t="s">
        <v>2191</v>
      </c>
      <c r="B126" t="s">
        <v>180</v>
      </c>
      <c r="C126" t="s">
        <v>2192</v>
      </c>
      <c r="K126" t="s">
        <v>1551</v>
      </c>
      <c r="AA126" s="30" t="s">
        <v>2193</v>
      </c>
      <c r="AB126" t="s">
        <v>2194</v>
      </c>
    </row>
    <row r="127" spans="1:29" ht="68.25">
      <c r="A127" s="54" t="s">
        <v>916</v>
      </c>
      <c r="B127" t="s">
        <v>180</v>
      </c>
      <c r="C127" t="s">
        <v>2195</v>
      </c>
      <c r="D127" t="s">
        <v>2196</v>
      </c>
      <c r="E127" t="s">
        <v>2197</v>
      </c>
      <c r="F127" t="s">
        <v>2198</v>
      </c>
      <c r="G127" t="s">
        <v>2199</v>
      </c>
      <c r="H127" t="s">
        <v>1551</v>
      </c>
      <c r="J127" t="s">
        <v>2200</v>
      </c>
      <c r="K127" t="s">
        <v>2201</v>
      </c>
      <c r="L127" t="s">
        <v>1551</v>
      </c>
      <c r="M127" s="29" t="s">
        <v>2202</v>
      </c>
      <c r="O127" t="s">
        <v>1735</v>
      </c>
      <c r="P127" s="45" t="s">
        <v>2203</v>
      </c>
      <c r="W127" s="45" t="s">
        <v>2204</v>
      </c>
      <c r="AA127" t="s">
        <v>2205</v>
      </c>
      <c r="AB127" t="s">
        <v>2206</v>
      </c>
      <c r="AC127" s="45" t="s">
        <v>2207</v>
      </c>
    </row>
    <row r="128" spans="1:29" ht="81">
      <c r="A128" s="54" t="s">
        <v>2208</v>
      </c>
      <c r="B128" t="s">
        <v>180</v>
      </c>
      <c r="C128" t="s">
        <v>2209</v>
      </c>
      <c r="D128" t="s">
        <v>2210</v>
      </c>
      <c r="E128" t="s">
        <v>2211</v>
      </c>
      <c r="F128" t="s">
        <v>2198</v>
      </c>
      <c r="G128" t="s">
        <v>2212</v>
      </c>
      <c r="H128" t="s">
        <v>1551</v>
      </c>
      <c r="J128" t="s">
        <v>2213</v>
      </c>
      <c r="K128" t="s">
        <v>2214</v>
      </c>
      <c r="L128" t="s">
        <v>2215</v>
      </c>
      <c r="M128" s="29" t="s">
        <v>2216</v>
      </c>
      <c r="N128" t="s">
        <v>2217</v>
      </c>
      <c r="O128" t="s">
        <v>1735</v>
      </c>
      <c r="P128" s="51" t="s">
        <v>2218</v>
      </c>
      <c r="Z128" s="45" t="s">
        <v>2219</v>
      </c>
      <c r="AA128" s="30" t="s">
        <v>2220</v>
      </c>
      <c r="AB128" s="42" t="s">
        <v>2221</v>
      </c>
    </row>
    <row r="129" spans="1:28" ht="27.75">
      <c r="A129" s="117" t="s">
        <v>1297</v>
      </c>
      <c r="B129" t="s">
        <v>180</v>
      </c>
      <c r="C129" t="s">
        <v>1609</v>
      </c>
      <c r="K129" t="s">
        <v>1551</v>
      </c>
      <c r="X129" s="45" t="s">
        <v>1299</v>
      </c>
      <c r="Y129" s="128"/>
      <c r="AA129" s="30" t="s">
        <v>2222</v>
      </c>
      <c r="AB129" s="25" t="s">
        <v>2223</v>
      </c>
    </row>
    <row r="130" spans="1:28" s="27" customFormat="1" ht="27.75">
      <c r="A130" s="26" t="s">
        <v>960</v>
      </c>
      <c r="B130" s="27" t="s">
        <v>319</v>
      </c>
      <c r="C130" s="27" t="s">
        <v>2224</v>
      </c>
      <c r="D130" s="27" t="s">
        <v>2225</v>
      </c>
      <c r="E130" s="27" t="s">
        <v>2226</v>
      </c>
      <c r="I130" s="27" t="s">
        <v>2227</v>
      </c>
      <c r="J130" s="27" t="s">
        <v>2228</v>
      </c>
      <c r="L130" s="27" t="s">
        <v>2229</v>
      </c>
      <c r="M130" s="49"/>
      <c r="N130" s="27" t="s">
        <v>2230</v>
      </c>
      <c r="P130" s="116" t="s">
        <v>2231</v>
      </c>
      <c r="W130" s="27" t="s">
        <v>2232</v>
      </c>
      <c r="AA130" s="127" t="s">
        <v>2233</v>
      </c>
      <c r="AB130" s="116" t="s">
        <v>2234</v>
      </c>
    </row>
    <row r="131" spans="1:28">
      <c r="A131" s="117" t="s">
        <v>1340</v>
      </c>
      <c r="B131" t="s">
        <v>180</v>
      </c>
      <c r="K131" t="s">
        <v>1551</v>
      </c>
      <c r="N131" t="s">
        <v>2235</v>
      </c>
      <c r="P131" t="s">
        <v>1339</v>
      </c>
      <c r="X131" t="s">
        <v>2236</v>
      </c>
      <c r="AA131" s="30" t="s">
        <v>1966</v>
      </c>
      <c r="AB131" t="s">
        <v>2237</v>
      </c>
    </row>
    <row r="132" spans="1:28" ht="27.75">
      <c r="A132" s="117" t="s">
        <v>2238</v>
      </c>
      <c r="B132" t="s">
        <v>180</v>
      </c>
      <c r="K132" t="s">
        <v>1551</v>
      </c>
      <c r="O132" s="129" t="s">
        <v>2239</v>
      </c>
      <c r="AA132" s="30" t="s">
        <v>2240</v>
      </c>
      <c r="AB132" t="s">
        <v>2241</v>
      </c>
    </row>
    <row r="133" spans="1:28">
      <c r="A133" s="117" t="s">
        <v>2242</v>
      </c>
      <c r="B133" t="s">
        <v>180</v>
      </c>
      <c r="K133" t="s">
        <v>1551</v>
      </c>
      <c r="AA133" s="30" t="s">
        <v>2243</v>
      </c>
      <c r="AB133" t="s">
        <v>2244</v>
      </c>
    </row>
    <row r="134" spans="1:28" ht="27.75">
      <c r="A134" s="117" t="s">
        <v>2245</v>
      </c>
      <c r="B134" t="s">
        <v>180</v>
      </c>
      <c r="C134" t="s">
        <v>2246</v>
      </c>
      <c r="K134" t="s">
        <v>1551</v>
      </c>
      <c r="N134" t="s">
        <v>2247</v>
      </c>
      <c r="O134" t="s">
        <v>1735</v>
      </c>
      <c r="X134" s="45" t="s">
        <v>2248</v>
      </c>
      <c r="AA134" t="s">
        <v>2249</v>
      </c>
      <c r="AB134" s="25" t="s">
        <v>2250</v>
      </c>
    </row>
    <row r="135" spans="1:28" ht="65.25" customHeight="1">
      <c r="A135" s="117" t="s">
        <v>2251</v>
      </c>
      <c r="B135" t="s">
        <v>180</v>
      </c>
      <c r="C135" t="s">
        <v>2252</v>
      </c>
      <c r="F135" t="s">
        <v>2253</v>
      </c>
      <c r="H135" s="45" t="s">
        <v>2254</v>
      </c>
      <c r="J135" t="s">
        <v>2255</v>
      </c>
      <c r="K135" t="s">
        <v>2256</v>
      </c>
      <c r="L135" t="s">
        <v>2257</v>
      </c>
      <c r="N135" t="s">
        <v>2258</v>
      </c>
      <c r="P135" t="s">
        <v>2259</v>
      </c>
      <c r="X135" s="130" t="s">
        <v>2260</v>
      </c>
      <c r="AA135" s="37" t="s">
        <v>2261</v>
      </c>
      <c r="AB135" t="s">
        <v>2262</v>
      </c>
    </row>
    <row r="136" spans="1:28">
      <c r="A136" s="26" t="s">
        <v>2263</v>
      </c>
      <c r="B136" s="27" t="s">
        <v>319</v>
      </c>
      <c r="C136" s="27"/>
      <c r="D136" s="27"/>
      <c r="E136" s="27"/>
      <c r="F136" s="27"/>
      <c r="G136" s="27"/>
      <c r="H136" s="27"/>
      <c r="I136" s="27"/>
      <c r="J136" s="27"/>
      <c r="K136" s="27"/>
      <c r="L136" s="27"/>
      <c r="M136" s="49"/>
      <c r="N136" s="27"/>
      <c r="P136" s="27"/>
      <c r="AA136" s="30" t="s">
        <v>1966</v>
      </c>
      <c r="AB136" s="25" t="s">
        <v>2264</v>
      </c>
    </row>
    <row r="137" spans="1:28" ht="27.75">
      <c r="A137" s="117" t="s">
        <v>2265</v>
      </c>
      <c r="B137" t="s">
        <v>180</v>
      </c>
      <c r="K137" t="s">
        <v>1551</v>
      </c>
      <c r="N137" t="s">
        <v>2266</v>
      </c>
      <c r="P137" s="45" t="s">
        <v>2267</v>
      </c>
      <c r="X137" t="s">
        <v>2268</v>
      </c>
      <c r="AA137" t="s">
        <v>122</v>
      </c>
      <c r="AB137" s="25" t="s">
        <v>2269</v>
      </c>
    </row>
    <row r="138" spans="1:28" ht="41.25">
      <c r="A138" s="117" t="s">
        <v>574</v>
      </c>
      <c r="B138" t="s">
        <v>180</v>
      </c>
      <c r="K138" t="s">
        <v>1551</v>
      </c>
      <c r="O138" t="s">
        <v>992</v>
      </c>
      <c r="P138" s="45" t="s">
        <v>2270</v>
      </c>
      <c r="R138" s="2" t="s">
        <v>285</v>
      </c>
      <c r="U138" s="45" t="s">
        <v>2271</v>
      </c>
      <c r="W138" s="1" t="s">
        <v>406</v>
      </c>
      <c r="AA138" s="32" t="s">
        <v>2272</v>
      </c>
      <c r="AB138" t="s">
        <v>2273</v>
      </c>
    </row>
    <row r="139" spans="1:28">
      <c r="A139" s="117" t="s">
        <v>2274</v>
      </c>
      <c r="B139" t="s">
        <v>180</v>
      </c>
      <c r="K139" t="s">
        <v>1551</v>
      </c>
      <c r="N139" t="s">
        <v>2275</v>
      </c>
      <c r="AA139" s="30" t="s">
        <v>1966</v>
      </c>
      <c r="AB139" t="s">
        <v>2276</v>
      </c>
    </row>
    <row r="140" spans="1:28">
      <c r="A140" s="117" t="s">
        <v>2277</v>
      </c>
      <c r="B140" t="s">
        <v>180</v>
      </c>
      <c r="K140" t="s">
        <v>1551</v>
      </c>
      <c r="AA140" s="30" t="s">
        <v>2278</v>
      </c>
      <c r="AB140" t="s">
        <v>2279</v>
      </c>
    </row>
    <row r="141" spans="1:28">
      <c r="A141" s="117" t="s">
        <v>2280</v>
      </c>
      <c r="B141" t="s">
        <v>180</v>
      </c>
      <c r="C141" t="s">
        <v>2281</v>
      </c>
      <c r="K141" t="s">
        <v>1551</v>
      </c>
      <c r="AA141" s="30" t="s">
        <v>2282</v>
      </c>
      <c r="AB141" t="s">
        <v>2283</v>
      </c>
    </row>
    <row r="142" spans="1:28" ht="81">
      <c r="A142" s="117" t="s">
        <v>1016</v>
      </c>
      <c r="B142" t="s">
        <v>180</v>
      </c>
      <c r="C142" t="s">
        <v>2284</v>
      </c>
      <c r="K142" t="s">
        <v>1551</v>
      </c>
      <c r="N142" s="45" t="s">
        <v>2285</v>
      </c>
      <c r="P142" s="45" t="s">
        <v>2286</v>
      </c>
      <c r="W142" s="45" t="s">
        <v>2287</v>
      </c>
      <c r="X142" s="45" t="s">
        <v>1392</v>
      </c>
      <c r="AA142" s="30" t="s">
        <v>2288</v>
      </c>
      <c r="AB142" t="s">
        <v>2289</v>
      </c>
    </row>
    <row r="143" spans="1:28">
      <c r="A143" s="54" t="s">
        <v>1064</v>
      </c>
      <c r="B143" t="s">
        <v>180</v>
      </c>
      <c r="G143" t="s">
        <v>2290</v>
      </c>
      <c r="K143" t="s">
        <v>2291</v>
      </c>
      <c r="O143" t="s">
        <v>1735</v>
      </c>
      <c r="P143" s="1" t="s">
        <v>1364</v>
      </c>
      <c r="U143" s="1" t="s">
        <v>1063</v>
      </c>
      <c r="AA143" s="32" t="s">
        <v>2292</v>
      </c>
      <c r="AB143" s="25" t="s">
        <v>2273</v>
      </c>
    </row>
    <row r="144" spans="1:28">
      <c r="A144" s="117" t="s">
        <v>2293</v>
      </c>
      <c r="B144" t="s">
        <v>180</v>
      </c>
      <c r="K144" t="s">
        <v>1551</v>
      </c>
      <c r="AA144" s="30" t="s">
        <v>2294</v>
      </c>
      <c r="AB144" t="s">
        <v>2295</v>
      </c>
    </row>
    <row r="145" spans="1:29">
      <c r="A145" s="26" t="s">
        <v>2296</v>
      </c>
      <c r="B145" s="27" t="s">
        <v>319</v>
      </c>
      <c r="C145" s="27"/>
      <c r="D145" s="27"/>
      <c r="E145" s="27"/>
      <c r="F145" s="27"/>
      <c r="G145" s="27"/>
      <c r="H145" s="27"/>
      <c r="I145" s="27"/>
      <c r="J145" s="27" t="s">
        <v>2297</v>
      </c>
      <c r="K145" s="27"/>
      <c r="L145" s="27"/>
      <c r="M145" s="49"/>
      <c r="N145" s="27"/>
      <c r="P145" s="27"/>
      <c r="AA145" t="s">
        <v>2298</v>
      </c>
      <c r="AB145" s="25" t="s">
        <v>2299</v>
      </c>
    </row>
    <row r="146" spans="1:29" ht="27.75">
      <c r="A146" s="54" t="s">
        <v>2300</v>
      </c>
      <c r="B146" t="s">
        <v>180</v>
      </c>
      <c r="C146" t="s">
        <v>2301</v>
      </c>
      <c r="E146" t="s">
        <v>2302</v>
      </c>
      <c r="J146" t="s">
        <v>2303</v>
      </c>
      <c r="K146" s="45" t="s">
        <v>2304</v>
      </c>
      <c r="L146" t="s">
        <v>2305</v>
      </c>
      <c r="M146" s="1" t="s">
        <v>1551</v>
      </c>
      <c r="X146" t="s">
        <v>2306</v>
      </c>
      <c r="AA146" s="30" t="s">
        <v>2307</v>
      </c>
      <c r="AB146" t="s">
        <v>2308</v>
      </c>
    </row>
    <row r="147" spans="1:29">
      <c r="A147" s="117" t="s">
        <v>2309</v>
      </c>
      <c r="B147" t="s">
        <v>180</v>
      </c>
      <c r="C147" t="s">
        <v>2310</v>
      </c>
      <c r="K147" t="s">
        <v>1551</v>
      </c>
      <c r="N147" t="s">
        <v>2311</v>
      </c>
      <c r="AA147" s="30" t="s">
        <v>2312</v>
      </c>
      <c r="AB147" t="s">
        <v>2313</v>
      </c>
    </row>
    <row r="148" spans="1:29">
      <c r="A148" s="117" t="s">
        <v>2314</v>
      </c>
      <c r="B148" t="s">
        <v>180</v>
      </c>
      <c r="K148" t="s">
        <v>1551</v>
      </c>
      <c r="X148" t="s">
        <v>2315</v>
      </c>
      <c r="AA148" s="30" t="s">
        <v>2316</v>
      </c>
      <c r="AB148" s="25" t="s">
        <v>2317</v>
      </c>
    </row>
    <row r="149" spans="1:29" ht="27.75">
      <c r="A149" s="117" t="s">
        <v>2318</v>
      </c>
      <c r="B149" t="s">
        <v>180</v>
      </c>
      <c r="C149" t="s">
        <v>2319</v>
      </c>
      <c r="D149" t="s">
        <v>2320</v>
      </c>
      <c r="K149" t="s">
        <v>1551</v>
      </c>
      <c r="X149" s="45" t="s">
        <v>2321</v>
      </c>
      <c r="AA149" s="37" t="s">
        <v>1966</v>
      </c>
      <c r="AB149" s="25" t="s">
        <v>2322</v>
      </c>
    </row>
    <row r="150" spans="1:29">
      <c r="A150" s="117" t="s">
        <v>2323</v>
      </c>
      <c r="B150" t="s">
        <v>180</v>
      </c>
      <c r="C150" t="s">
        <v>2324</v>
      </c>
      <c r="K150" t="s">
        <v>1551</v>
      </c>
      <c r="AA150" s="30" t="s">
        <v>2325</v>
      </c>
      <c r="AB150" s="25" t="s">
        <v>2326</v>
      </c>
    </row>
    <row r="151" spans="1:29">
      <c r="A151" s="117" t="s">
        <v>2327</v>
      </c>
      <c r="B151" t="s">
        <v>180</v>
      </c>
      <c r="G151" t="s">
        <v>2328</v>
      </c>
      <c r="K151" t="s">
        <v>1551</v>
      </c>
      <c r="O151" t="s">
        <v>1735</v>
      </c>
      <c r="X151" t="s">
        <v>2329</v>
      </c>
      <c r="AA151" s="37" t="s">
        <v>2330</v>
      </c>
      <c r="AB151" t="s">
        <v>2331</v>
      </c>
    </row>
    <row r="152" spans="1:29">
      <c r="A152" s="117" t="s">
        <v>2332</v>
      </c>
      <c r="B152" t="s">
        <v>180</v>
      </c>
      <c r="K152" t="s">
        <v>1551</v>
      </c>
      <c r="N152" t="s">
        <v>2333</v>
      </c>
      <c r="AA152" s="30" t="s">
        <v>2334</v>
      </c>
      <c r="AB152" t="s">
        <v>2335</v>
      </c>
    </row>
    <row r="153" spans="1:29">
      <c r="A153" s="117" t="s">
        <v>1345</v>
      </c>
      <c r="B153" t="s">
        <v>180</v>
      </c>
      <c r="K153" t="s">
        <v>1551</v>
      </c>
      <c r="P153" t="s">
        <v>2336</v>
      </c>
      <c r="AA153" s="37" t="s">
        <v>1966</v>
      </c>
      <c r="AB153" s="25" t="s">
        <v>2337</v>
      </c>
    </row>
    <row r="154" spans="1:29">
      <c r="A154" s="117" t="s">
        <v>2338</v>
      </c>
      <c r="B154" t="s">
        <v>180</v>
      </c>
      <c r="C154" t="s">
        <v>2339</v>
      </c>
      <c r="K154" t="s">
        <v>1551</v>
      </c>
      <c r="AA154" s="37" t="s">
        <v>2340</v>
      </c>
      <c r="AB154" s="25" t="s">
        <v>2341</v>
      </c>
      <c r="AC154" t="s">
        <v>2342</v>
      </c>
    </row>
    <row r="155" spans="1:29" s="27" customFormat="1">
      <c r="A155" s="26" t="s">
        <v>1400</v>
      </c>
      <c r="B155" s="27" t="s">
        <v>319</v>
      </c>
      <c r="M155" s="49"/>
      <c r="AA155" s="127" t="s">
        <v>2343</v>
      </c>
      <c r="AB155" s="131" t="s">
        <v>2344</v>
      </c>
    </row>
    <row r="156" spans="1:29">
      <c r="A156" s="117" t="s">
        <v>2345</v>
      </c>
      <c r="B156" t="s">
        <v>180</v>
      </c>
      <c r="K156" t="s">
        <v>1551</v>
      </c>
      <c r="AA156" s="30" t="s">
        <v>2346</v>
      </c>
      <c r="AB156" t="s">
        <v>2347</v>
      </c>
    </row>
    <row r="157" spans="1:29" ht="27.75">
      <c r="A157" s="117" t="s">
        <v>1348</v>
      </c>
      <c r="B157" t="s">
        <v>180</v>
      </c>
      <c r="C157" t="s">
        <v>2348</v>
      </c>
      <c r="J157" t="s">
        <v>2349</v>
      </c>
      <c r="K157" t="s">
        <v>1551</v>
      </c>
      <c r="P157" s="45" t="s">
        <v>2350</v>
      </c>
      <c r="AA157" s="30" t="s">
        <v>1847</v>
      </c>
      <c r="AB157" t="s">
        <v>2351</v>
      </c>
    </row>
    <row r="158" spans="1:29" ht="27.75">
      <c r="A158" s="117" t="s">
        <v>2352</v>
      </c>
      <c r="B158" t="s">
        <v>180</v>
      </c>
      <c r="C158" t="s">
        <v>2353</v>
      </c>
      <c r="K158" t="s">
        <v>1551</v>
      </c>
      <c r="N158" s="45" t="s">
        <v>2354</v>
      </c>
      <c r="AA158" s="30" t="s">
        <v>2355</v>
      </c>
      <c r="AB158" s="25" t="s">
        <v>2356</v>
      </c>
    </row>
    <row r="159" spans="1:29">
      <c r="A159" s="117" t="s">
        <v>2357</v>
      </c>
      <c r="B159" t="s">
        <v>180</v>
      </c>
      <c r="K159" t="s">
        <v>1551</v>
      </c>
      <c r="AA159" t="s">
        <v>122</v>
      </c>
      <c r="AB159" t="s">
        <v>2358</v>
      </c>
    </row>
    <row r="160" spans="1:29" ht="27.75">
      <c r="A160" s="117" t="s">
        <v>2359</v>
      </c>
      <c r="B160" t="s">
        <v>180</v>
      </c>
      <c r="G160" t="s">
        <v>2360</v>
      </c>
      <c r="K160" t="s">
        <v>1551</v>
      </c>
      <c r="N160" t="s">
        <v>2361</v>
      </c>
      <c r="O160" t="s">
        <v>1735</v>
      </c>
      <c r="P160" t="s">
        <v>2362</v>
      </c>
      <c r="X160" s="45" t="s">
        <v>2363</v>
      </c>
      <c r="AA160" s="37" t="s">
        <v>1966</v>
      </c>
      <c r="AB160" t="s">
        <v>2364</v>
      </c>
    </row>
    <row r="161" spans="1:28">
      <c r="A161" s="117" t="s">
        <v>2365</v>
      </c>
      <c r="B161" t="s">
        <v>180</v>
      </c>
      <c r="C161" t="s">
        <v>2366</v>
      </c>
      <c r="K161" t="s">
        <v>1551</v>
      </c>
      <c r="AA161" t="s">
        <v>122</v>
      </c>
      <c r="AB161" s="25" t="s">
        <v>2367</v>
      </c>
    </row>
    <row r="162" spans="1:28">
      <c r="A162" s="117" t="s">
        <v>2368</v>
      </c>
      <c r="B162" t="s">
        <v>180</v>
      </c>
      <c r="K162" t="s">
        <v>1551</v>
      </c>
      <c r="U162" t="s">
        <v>2369</v>
      </c>
      <c r="AA162" s="32" t="s">
        <v>2370</v>
      </c>
      <c r="AB162" t="s">
        <v>2371</v>
      </c>
    </row>
    <row r="163" spans="1:28">
      <c r="A163" s="117" t="s">
        <v>2372</v>
      </c>
      <c r="B163" t="s">
        <v>180</v>
      </c>
      <c r="C163" t="s">
        <v>2373</v>
      </c>
      <c r="K163" t="s">
        <v>1551</v>
      </c>
      <c r="AA163" s="30" t="s">
        <v>2374</v>
      </c>
      <c r="AB163" t="s">
        <v>2375</v>
      </c>
    </row>
    <row r="164" spans="1:28">
      <c r="A164" s="117" t="s">
        <v>2376</v>
      </c>
      <c r="B164" t="s">
        <v>180</v>
      </c>
      <c r="K164" t="s">
        <v>1551</v>
      </c>
      <c r="X164" t="s">
        <v>2377</v>
      </c>
      <c r="AA164" t="s">
        <v>122</v>
      </c>
      <c r="AB164" t="s">
        <v>2378</v>
      </c>
    </row>
    <row r="165" spans="1:28" ht="54.75">
      <c r="A165" s="117" t="s">
        <v>2379</v>
      </c>
      <c r="B165" t="s">
        <v>180</v>
      </c>
      <c r="K165" t="s">
        <v>1551</v>
      </c>
      <c r="X165" s="45" t="s">
        <v>2380</v>
      </c>
      <c r="AA165" s="37" t="s">
        <v>1966</v>
      </c>
      <c r="AB165" s="25" t="s">
        <v>2381</v>
      </c>
    </row>
    <row r="166" spans="1:28">
      <c r="A166" s="117" t="s">
        <v>2382</v>
      </c>
      <c r="B166" t="s">
        <v>180</v>
      </c>
      <c r="K166" t="s">
        <v>1551</v>
      </c>
      <c r="X166" t="s">
        <v>2383</v>
      </c>
      <c r="AA166" s="30" t="s">
        <v>2384</v>
      </c>
      <c r="AB166" t="s">
        <v>2385</v>
      </c>
    </row>
    <row r="167" spans="1:28">
      <c r="A167" s="117" t="s">
        <v>2386</v>
      </c>
      <c r="B167" t="s">
        <v>180</v>
      </c>
      <c r="K167" t="s">
        <v>1551</v>
      </c>
      <c r="AA167" s="30" t="s">
        <v>2387</v>
      </c>
      <c r="AB167" t="s">
        <v>2388</v>
      </c>
    </row>
    <row r="168" spans="1:28">
      <c r="A168" s="54" t="s">
        <v>2389</v>
      </c>
      <c r="B168" t="s">
        <v>180</v>
      </c>
      <c r="K168" t="s">
        <v>2390</v>
      </c>
      <c r="AA168" s="30" t="s">
        <v>2391</v>
      </c>
      <c r="AB168" t="s">
        <v>2392</v>
      </c>
    </row>
    <row r="169" spans="1:28">
      <c r="A169" s="117" t="s">
        <v>2393</v>
      </c>
      <c r="B169" t="s">
        <v>180</v>
      </c>
      <c r="K169" t="s">
        <v>1551</v>
      </c>
      <c r="AA169" s="37" t="s">
        <v>2394</v>
      </c>
      <c r="AB169" t="s">
        <v>2395</v>
      </c>
    </row>
    <row r="170" spans="1:28">
      <c r="A170" s="118" t="s">
        <v>2396</v>
      </c>
      <c r="B170" t="s">
        <v>180</v>
      </c>
      <c r="K170" t="s">
        <v>1551</v>
      </c>
      <c r="O170" t="s">
        <v>1735</v>
      </c>
      <c r="P170" s="45" t="s">
        <v>2397</v>
      </c>
    </row>
    <row r="171" spans="1:28">
      <c r="A171" s="117" t="s">
        <v>2398</v>
      </c>
      <c r="B171" t="s">
        <v>180</v>
      </c>
      <c r="G171" t="s">
        <v>2399</v>
      </c>
      <c r="K171" t="s">
        <v>1551</v>
      </c>
      <c r="AA171" t="s">
        <v>122</v>
      </c>
      <c r="AB171" t="s">
        <v>2400</v>
      </c>
    </row>
    <row r="172" spans="1:28">
      <c r="A172" s="117" t="s">
        <v>2401</v>
      </c>
      <c r="B172" t="s">
        <v>180</v>
      </c>
      <c r="G172" t="s">
        <v>2402</v>
      </c>
      <c r="K172" t="s">
        <v>1551</v>
      </c>
      <c r="AA172" s="37" t="s">
        <v>2403</v>
      </c>
      <c r="AB172" t="s">
        <v>2404</v>
      </c>
    </row>
    <row r="173" spans="1:28">
      <c r="A173" s="117" t="s">
        <v>2405</v>
      </c>
      <c r="B173" t="s">
        <v>180</v>
      </c>
      <c r="K173" t="s">
        <v>1551</v>
      </c>
      <c r="O173" t="s">
        <v>2406</v>
      </c>
      <c r="X173" t="s">
        <v>2407</v>
      </c>
      <c r="AA173" s="37" t="s">
        <v>2408</v>
      </c>
      <c r="AB173" s="25" t="s">
        <v>2409</v>
      </c>
    </row>
    <row r="174" spans="1:28">
      <c r="A174" s="54" t="s">
        <v>1069</v>
      </c>
      <c r="B174" t="s">
        <v>180</v>
      </c>
      <c r="C174" t="s">
        <v>2410</v>
      </c>
      <c r="K174" t="s">
        <v>2411</v>
      </c>
      <c r="P174" t="s">
        <v>1057</v>
      </c>
      <c r="W174" s="1" t="s">
        <v>1068</v>
      </c>
      <c r="AA174" s="30" t="s">
        <v>2412</v>
      </c>
      <c r="AB174" t="s">
        <v>2413</v>
      </c>
    </row>
    <row r="175" spans="1:28">
      <c r="A175" s="117" t="s">
        <v>2414</v>
      </c>
      <c r="B175" t="s">
        <v>180</v>
      </c>
      <c r="G175" t="s">
        <v>2415</v>
      </c>
      <c r="K175" t="s">
        <v>1551</v>
      </c>
      <c r="AA175" s="30" t="s">
        <v>2416</v>
      </c>
      <c r="AB175" t="s">
        <v>2417</v>
      </c>
    </row>
    <row r="176" spans="1:28">
      <c r="A176" s="117" t="s">
        <v>2418</v>
      </c>
      <c r="B176" t="s">
        <v>180</v>
      </c>
      <c r="C176" t="s">
        <v>2419</v>
      </c>
      <c r="K176" t="s">
        <v>1551</v>
      </c>
      <c r="AA176" s="30" t="s">
        <v>2420</v>
      </c>
      <c r="AB176" t="s">
        <v>2421</v>
      </c>
    </row>
    <row r="177" spans="1:29" ht="61.5" customHeight="1">
      <c r="A177" s="117" t="s">
        <v>2422</v>
      </c>
      <c r="B177" t="s">
        <v>180</v>
      </c>
      <c r="C177" t="s">
        <v>2423</v>
      </c>
      <c r="K177" t="s">
        <v>1551</v>
      </c>
      <c r="P177" s="45" t="s">
        <v>2424</v>
      </c>
      <c r="AA177" s="30" t="s">
        <v>2425</v>
      </c>
      <c r="AB177" t="s">
        <v>2426</v>
      </c>
    </row>
    <row r="178" spans="1:29" ht="27.75">
      <c r="A178" s="117" t="s">
        <v>2427</v>
      </c>
      <c r="B178" t="s">
        <v>180</v>
      </c>
      <c r="K178" t="s">
        <v>1551</v>
      </c>
      <c r="N178" s="45" t="s">
        <v>2428</v>
      </c>
      <c r="AA178" s="30" t="s">
        <v>2429</v>
      </c>
      <c r="AB178" t="s">
        <v>2430</v>
      </c>
    </row>
    <row r="179" spans="1:29">
      <c r="A179" s="117" t="s">
        <v>2431</v>
      </c>
      <c r="B179" t="s">
        <v>180</v>
      </c>
      <c r="K179" t="s">
        <v>1551</v>
      </c>
      <c r="AA179" s="30" t="s">
        <v>1750</v>
      </c>
      <c r="AB179" t="s">
        <v>2432</v>
      </c>
    </row>
    <row r="180" spans="1:29">
      <c r="A180" s="117" t="s">
        <v>2433</v>
      </c>
      <c r="B180" t="s">
        <v>180</v>
      </c>
      <c r="G180" t="s">
        <v>2434</v>
      </c>
      <c r="K180" t="s">
        <v>1551</v>
      </c>
      <c r="N180" t="s">
        <v>2435</v>
      </c>
      <c r="AA180" s="30" t="s">
        <v>122</v>
      </c>
      <c r="AB180" t="s">
        <v>2436</v>
      </c>
    </row>
    <row r="181" spans="1:29">
      <c r="A181" s="117" t="s">
        <v>2437</v>
      </c>
      <c r="B181" t="s">
        <v>180</v>
      </c>
      <c r="K181" t="s">
        <v>1551</v>
      </c>
      <c r="N181" t="s">
        <v>2438</v>
      </c>
      <c r="AA181" s="30" t="s">
        <v>2439</v>
      </c>
      <c r="AB181" t="s">
        <v>2440</v>
      </c>
    </row>
    <row r="182" spans="1:29">
      <c r="A182" s="54" t="s">
        <v>1416</v>
      </c>
      <c r="B182" t="s">
        <v>180</v>
      </c>
      <c r="C182" t="s">
        <v>2441</v>
      </c>
      <c r="K182" t="s">
        <v>2442</v>
      </c>
      <c r="AA182" s="30" t="s">
        <v>2443</v>
      </c>
      <c r="AB182" t="s">
        <v>2444</v>
      </c>
    </row>
    <row r="183" spans="1:29">
      <c r="A183" s="117" t="s">
        <v>2445</v>
      </c>
      <c r="B183" t="s">
        <v>180</v>
      </c>
      <c r="K183" t="s">
        <v>1551</v>
      </c>
      <c r="N183" t="s">
        <v>2446</v>
      </c>
      <c r="AA183" s="43" t="s">
        <v>2447</v>
      </c>
      <c r="AB183" t="s">
        <v>2448</v>
      </c>
    </row>
    <row r="184" spans="1:29">
      <c r="A184" s="117" t="s">
        <v>2449</v>
      </c>
      <c r="B184" t="s">
        <v>180</v>
      </c>
      <c r="K184" t="s">
        <v>1551</v>
      </c>
      <c r="AA184" s="30" t="s">
        <v>1750</v>
      </c>
      <c r="AB184" s="25" t="s">
        <v>2450</v>
      </c>
    </row>
    <row r="185" spans="1:29" ht="27.75">
      <c r="A185" s="117" t="s">
        <v>1323</v>
      </c>
      <c r="B185" t="s">
        <v>180</v>
      </c>
      <c r="C185" t="s">
        <v>2451</v>
      </c>
      <c r="K185" t="s">
        <v>1551</v>
      </c>
      <c r="X185" s="45" t="s">
        <v>2452</v>
      </c>
      <c r="AA185" s="30" t="s">
        <v>2453</v>
      </c>
      <c r="AB185" t="s">
        <v>2454</v>
      </c>
    </row>
    <row r="186" spans="1:29">
      <c r="A186" s="117" t="s">
        <v>2455</v>
      </c>
      <c r="B186" t="s">
        <v>180</v>
      </c>
      <c r="G186" t="s">
        <v>2456</v>
      </c>
      <c r="J186" t="s">
        <v>2457</v>
      </c>
      <c r="K186" t="s">
        <v>1551</v>
      </c>
      <c r="L186" t="s">
        <v>2458</v>
      </c>
      <c r="N186" t="s">
        <v>2459</v>
      </c>
      <c r="AA186" t="s">
        <v>122</v>
      </c>
      <c r="AB186" s="25" t="s">
        <v>2460</v>
      </c>
    </row>
    <row r="187" spans="1:29">
      <c r="A187" s="117" t="s">
        <v>2461</v>
      </c>
      <c r="B187" t="s">
        <v>180</v>
      </c>
      <c r="G187" t="s">
        <v>2462</v>
      </c>
      <c r="K187" t="s">
        <v>1551</v>
      </c>
      <c r="AA187" t="s">
        <v>122</v>
      </c>
      <c r="AB187" t="s">
        <v>2463</v>
      </c>
    </row>
    <row r="188" spans="1:29">
      <c r="A188" s="117" t="s">
        <v>2464</v>
      </c>
      <c r="B188" t="s">
        <v>180</v>
      </c>
      <c r="C188" t="s">
        <v>2465</v>
      </c>
      <c r="K188" t="s">
        <v>1551</v>
      </c>
      <c r="AA188" s="30" t="s">
        <v>2466</v>
      </c>
      <c r="AB188" t="s">
        <v>2467</v>
      </c>
    </row>
    <row r="189" spans="1:29">
      <c r="A189" s="117" t="s">
        <v>2468</v>
      </c>
      <c r="B189" t="s">
        <v>180</v>
      </c>
      <c r="K189" t="s">
        <v>1551</v>
      </c>
      <c r="AA189" t="s">
        <v>122</v>
      </c>
      <c r="AB189" s="25" t="s">
        <v>2469</v>
      </c>
    </row>
    <row r="190" spans="1:29">
      <c r="A190" s="117" t="s">
        <v>1516</v>
      </c>
      <c r="B190" t="s">
        <v>180</v>
      </c>
      <c r="K190" t="s">
        <v>1551</v>
      </c>
      <c r="AA190" s="43" t="s">
        <v>2146</v>
      </c>
      <c r="AB190" s="25" t="s">
        <v>2470</v>
      </c>
    </row>
    <row r="191" spans="1:29">
      <c r="A191" s="54" t="s">
        <v>1085</v>
      </c>
      <c r="B191" t="s">
        <v>180</v>
      </c>
      <c r="K191" t="s">
        <v>2471</v>
      </c>
      <c r="AA191" s="30" t="s">
        <v>2472</v>
      </c>
      <c r="AB191" t="s">
        <v>2473</v>
      </c>
    </row>
    <row r="192" spans="1:29" ht="51" customHeight="1">
      <c r="A192" s="54" t="s">
        <v>2474</v>
      </c>
      <c r="B192" t="s">
        <v>180</v>
      </c>
      <c r="C192" t="s">
        <v>2475</v>
      </c>
      <c r="D192" t="s">
        <v>2475</v>
      </c>
      <c r="E192" s="45" t="s">
        <v>2476</v>
      </c>
      <c r="F192" t="s">
        <v>1551</v>
      </c>
      <c r="G192" t="s">
        <v>1551</v>
      </c>
      <c r="H192" t="s">
        <v>1551</v>
      </c>
      <c r="J192" t="s">
        <v>2477</v>
      </c>
      <c r="K192" t="s">
        <v>2478</v>
      </c>
      <c r="L192" t="s">
        <v>1551</v>
      </c>
      <c r="M192" s="52" t="s">
        <v>2479</v>
      </c>
      <c r="N192" s="45" t="s">
        <v>2480</v>
      </c>
      <c r="P192" t="s">
        <v>2481</v>
      </c>
      <c r="X192" s="45" t="s">
        <v>2482</v>
      </c>
      <c r="AA192" s="30" t="s">
        <v>2483</v>
      </c>
      <c r="AB192" t="s">
        <v>2484</v>
      </c>
      <c r="AC192" s="45" t="s">
        <v>2485</v>
      </c>
    </row>
    <row r="193" spans="1:29" ht="27.75">
      <c r="A193" s="117" t="s">
        <v>2486</v>
      </c>
      <c r="B193" t="s">
        <v>180</v>
      </c>
      <c r="C193" t="s">
        <v>2487</v>
      </c>
      <c r="K193" t="s">
        <v>1551</v>
      </c>
      <c r="X193" s="45" t="s">
        <v>2488</v>
      </c>
      <c r="AA193" s="30" t="s">
        <v>2489</v>
      </c>
      <c r="AB193" s="25" t="s">
        <v>2490</v>
      </c>
    </row>
    <row r="194" spans="1:29">
      <c r="A194" s="117" t="s">
        <v>2491</v>
      </c>
      <c r="B194" t="s">
        <v>180</v>
      </c>
      <c r="K194" t="s">
        <v>1551</v>
      </c>
      <c r="AA194" s="30" t="s">
        <v>2492</v>
      </c>
      <c r="AB194" t="s">
        <v>2493</v>
      </c>
    </row>
    <row r="195" spans="1:29">
      <c r="A195" s="117" t="s">
        <v>2494</v>
      </c>
      <c r="B195" t="s">
        <v>180</v>
      </c>
      <c r="K195" t="s">
        <v>1551</v>
      </c>
      <c r="AA195" s="37" t="s">
        <v>2495</v>
      </c>
      <c r="AB195" t="s">
        <v>2496</v>
      </c>
    </row>
    <row r="196" spans="1:29" ht="54.75">
      <c r="A196" s="54" t="s">
        <v>2497</v>
      </c>
      <c r="B196" t="s">
        <v>180</v>
      </c>
      <c r="C196" t="s">
        <v>2498</v>
      </c>
      <c r="D196" t="s">
        <v>2499</v>
      </c>
      <c r="E196" t="s">
        <v>2500</v>
      </c>
      <c r="F196" t="s">
        <v>1551</v>
      </c>
      <c r="G196" t="s">
        <v>1551</v>
      </c>
      <c r="J196" s="45" t="s">
        <v>2501</v>
      </c>
      <c r="K196" t="s">
        <v>2502</v>
      </c>
      <c r="L196" t="s">
        <v>1551</v>
      </c>
      <c r="N196" t="s">
        <v>2503</v>
      </c>
      <c r="P196" s="45" t="s">
        <v>2504</v>
      </c>
      <c r="X196" s="45" t="s">
        <v>2505</v>
      </c>
      <c r="AA196" s="30" t="s">
        <v>2506</v>
      </c>
      <c r="AB196" s="46" t="s">
        <v>2507</v>
      </c>
      <c r="AC196" s="45" t="s">
        <v>2508</v>
      </c>
    </row>
    <row r="197" spans="1:29">
      <c r="A197" s="117" t="s">
        <v>2509</v>
      </c>
      <c r="B197" t="s">
        <v>180</v>
      </c>
      <c r="C197" t="s">
        <v>2510</v>
      </c>
      <c r="K197" t="s">
        <v>1551</v>
      </c>
      <c r="AA197" s="30" t="s">
        <v>2511</v>
      </c>
      <c r="AB197" t="s">
        <v>2512</v>
      </c>
    </row>
    <row r="198" spans="1:29">
      <c r="A198" s="117" t="s">
        <v>2513</v>
      </c>
      <c r="B198" t="s">
        <v>180</v>
      </c>
      <c r="C198" t="s">
        <v>2514</v>
      </c>
      <c r="K198" t="s">
        <v>1551</v>
      </c>
      <c r="X198" t="s">
        <v>2515</v>
      </c>
      <c r="AA198" t="s">
        <v>122</v>
      </c>
      <c r="AB198" t="s">
        <v>2516</v>
      </c>
    </row>
    <row r="199" spans="1:29" ht="27.75">
      <c r="A199" s="117" t="s">
        <v>2517</v>
      </c>
      <c r="B199" t="s">
        <v>180</v>
      </c>
      <c r="K199" t="s">
        <v>1551</v>
      </c>
      <c r="P199" s="45" t="s">
        <v>2518</v>
      </c>
      <c r="X199" t="s">
        <v>1698</v>
      </c>
      <c r="AA199" s="30" t="s">
        <v>2519</v>
      </c>
      <c r="AB199" t="s">
        <v>2520</v>
      </c>
    </row>
    <row r="200" spans="1:29">
      <c r="A200" s="117" t="s">
        <v>2521</v>
      </c>
      <c r="B200" t="s">
        <v>180</v>
      </c>
      <c r="C200" t="s">
        <v>2522</v>
      </c>
      <c r="K200" t="s">
        <v>1551</v>
      </c>
      <c r="AA200" s="37" t="s">
        <v>2523</v>
      </c>
      <c r="AB200" t="s">
        <v>2524</v>
      </c>
    </row>
    <row r="201" spans="1:29" ht="27.75">
      <c r="A201" s="117" t="s">
        <v>2525</v>
      </c>
      <c r="B201" t="s">
        <v>180</v>
      </c>
      <c r="C201" t="s">
        <v>2526</v>
      </c>
      <c r="K201" t="s">
        <v>1551</v>
      </c>
      <c r="N201" t="s">
        <v>2527</v>
      </c>
      <c r="U201" s="45" t="s">
        <v>2528</v>
      </c>
      <c r="X201" s="45" t="s">
        <v>2529</v>
      </c>
      <c r="AA201" s="32" t="s">
        <v>2530</v>
      </c>
      <c r="AB201" t="s">
        <v>2531</v>
      </c>
    </row>
    <row r="202" spans="1:29" s="27" customFormat="1">
      <c r="A202" s="26" t="s">
        <v>2532</v>
      </c>
      <c r="B202" s="27" t="s">
        <v>319</v>
      </c>
      <c r="M202" s="49"/>
      <c r="AA202" s="133" t="s">
        <v>1750</v>
      </c>
      <c r="AB202" s="131" t="s">
        <v>2533</v>
      </c>
    </row>
    <row r="203" spans="1:29">
      <c r="A203" s="117" t="s">
        <v>2534</v>
      </c>
      <c r="B203" t="s">
        <v>180</v>
      </c>
      <c r="K203" t="s">
        <v>1551</v>
      </c>
      <c r="AA203" s="43" t="s">
        <v>2453</v>
      </c>
      <c r="AB203" s="25" t="s">
        <v>2535</v>
      </c>
    </row>
    <row r="204" spans="1:29">
      <c r="A204" s="117" t="s">
        <v>2536</v>
      </c>
      <c r="B204" t="s">
        <v>180</v>
      </c>
      <c r="K204" t="s">
        <v>1551</v>
      </c>
      <c r="X204" t="s">
        <v>2537</v>
      </c>
      <c r="AA204" s="37" t="s">
        <v>1750</v>
      </c>
      <c r="AB204" t="s">
        <v>2538</v>
      </c>
    </row>
    <row r="205" spans="1:29" ht="81">
      <c r="A205" s="54" t="s">
        <v>2539</v>
      </c>
      <c r="B205" t="s">
        <v>180</v>
      </c>
      <c r="C205" t="s">
        <v>2540</v>
      </c>
      <c r="D205" t="s">
        <v>2541</v>
      </c>
      <c r="E205" t="s">
        <v>2542</v>
      </c>
      <c r="F205" t="s">
        <v>1551</v>
      </c>
      <c r="G205" t="s">
        <v>1551</v>
      </c>
      <c r="H205" t="s">
        <v>1551</v>
      </c>
      <c r="J205" t="s">
        <v>2543</v>
      </c>
      <c r="K205" t="s">
        <v>2544</v>
      </c>
      <c r="L205" t="s">
        <v>1551</v>
      </c>
      <c r="N205" t="s">
        <v>2545</v>
      </c>
      <c r="O205" s="45" t="s">
        <v>2546</v>
      </c>
      <c r="P205" t="s">
        <v>2547</v>
      </c>
      <c r="W205" t="s">
        <v>2548</v>
      </c>
      <c r="AA205" s="37" t="s">
        <v>2549</v>
      </c>
      <c r="AB205" t="s">
        <v>2550</v>
      </c>
      <c r="AC205" t="s">
        <v>2551</v>
      </c>
    </row>
    <row r="206" spans="1:29" ht="27.75">
      <c r="A206" s="117" t="s">
        <v>1456</v>
      </c>
      <c r="B206" t="s">
        <v>180</v>
      </c>
      <c r="G206" t="s">
        <v>2552</v>
      </c>
      <c r="K206" t="s">
        <v>1551</v>
      </c>
      <c r="N206" s="45" t="s">
        <v>2553</v>
      </c>
      <c r="O206" t="s">
        <v>1735</v>
      </c>
      <c r="X206" t="s">
        <v>2554</v>
      </c>
      <c r="AA206" s="30" t="s">
        <v>2555</v>
      </c>
      <c r="AB206" t="s">
        <v>2556</v>
      </c>
    </row>
    <row r="207" spans="1:29">
      <c r="A207" s="117" t="s">
        <v>2557</v>
      </c>
      <c r="B207" t="s">
        <v>180</v>
      </c>
      <c r="K207" t="s">
        <v>1551</v>
      </c>
      <c r="AA207" s="30" t="s">
        <v>2558</v>
      </c>
      <c r="AB207" t="s">
        <v>2559</v>
      </c>
    </row>
    <row r="208" spans="1:29">
      <c r="A208" s="117" t="s">
        <v>2560</v>
      </c>
      <c r="B208" t="s">
        <v>180</v>
      </c>
      <c r="C208" t="s">
        <v>2561</v>
      </c>
      <c r="K208" t="s">
        <v>1551</v>
      </c>
      <c r="AA208" s="30" t="s">
        <v>2562</v>
      </c>
      <c r="AB208" t="s">
        <v>2563</v>
      </c>
    </row>
    <row r="209" spans="1:28">
      <c r="A209" s="117" t="s">
        <v>2564</v>
      </c>
      <c r="B209" t="s">
        <v>180</v>
      </c>
      <c r="C209" t="s">
        <v>2565</v>
      </c>
      <c r="K209" t="s">
        <v>1551</v>
      </c>
      <c r="AA209" s="43" t="s">
        <v>2566</v>
      </c>
      <c r="AB209" t="s">
        <v>2567</v>
      </c>
    </row>
    <row r="210" spans="1:28" s="27" customFormat="1">
      <c r="A210" s="26" t="s">
        <v>2568</v>
      </c>
      <c r="B210" s="27" t="s">
        <v>319</v>
      </c>
      <c r="M210" s="49"/>
      <c r="AA210" s="27" t="s">
        <v>122</v>
      </c>
      <c r="AB210" s="27" t="s">
        <v>2569</v>
      </c>
    </row>
    <row r="211" spans="1:28">
      <c r="A211" s="117" t="s">
        <v>2570</v>
      </c>
      <c r="B211" t="s">
        <v>180</v>
      </c>
      <c r="C211" t="s">
        <v>2571</v>
      </c>
      <c r="K211" t="s">
        <v>1551</v>
      </c>
      <c r="N211" t="s">
        <v>2572</v>
      </c>
      <c r="AA211" s="30" t="s">
        <v>2573</v>
      </c>
      <c r="AB211" t="s">
        <v>2574</v>
      </c>
    </row>
    <row r="212" spans="1:28">
      <c r="A212" s="117" t="s">
        <v>2575</v>
      </c>
      <c r="B212" t="s">
        <v>180</v>
      </c>
      <c r="C212" t="s">
        <v>2576</v>
      </c>
      <c r="K212" t="s">
        <v>1551</v>
      </c>
      <c r="X212" t="s">
        <v>2577</v>
      </c>
      <c r="AA212" s="30" t="s">
        <v>2578</v>
      </c>
      <c r="AB212" t="s">
        <v>2579</v>
      </c>
    </row>
    <row r="213" spans="1:28" s="27" customFormat="1">
      <c r="A213" s="26" t="s">
        <v>2580</v>
      </c>
      <c r="B213" s="27" t="s">
        <v>319</v>
      </c>
      <c r="M213" s="49"/>
      <c r="AA213" s="127" t="s">
        <v>2581</v>
      </c>
      <c r="AB213" s="27" t="s">
        <v>2582</v>
      </c>
    </row>
    <row r="214" spans="1:28">
      <c r="A214" s="117" t="s">
        <v>1386</v>
      </c>
      <c r="B214" t="s">
        <v>180</v>
      </c>
      <c r="C214" t="s">
        <v>2583</v>
      </c>
      <c r="K214" t="s">
        <v>1551</v>
      </c>
      <c r="O214" t="s">
        <v>1735</v>
      </c>
      <c r="X214" t="s">
        <v>2584</v>
      </c>
      <c r="AA214" s="30" t="s">
        <v>2585</v>
      </c>
      <c r="AB214" t="s">
        <v>2586</v>
      </c>
    </row>
    <row r="215" spans="1:28">
      <c r="A215" s="117" t="s">
        <v>2587</v>
      </c>
      <c r="B215" t="s">
        <v>180</v>
      </c>
      <c r="K215" t="s">
        <v>1551</v>
      </c>
      <c r="N215" t="s">
        <v>2588</v>
      </c>
      <c r="AA215" s="30" t="s">
        <v>2589</v>
      </c>
      <c r="AB215" t="s">
        <v>2590</v>
      </c>
    </row>
    <row r="216" spans="1:28">
      <c r="A216" s="117" t="s">
        <v>2591</v>
      </c>
      <c r="B216" t="s">
        <v>180</v>
      </c>
      <c r="C216" t="s">
        <v>2592</v>
      </c>
      <c r="K216" t="s">
        <v>1551</v>
      </c>
      <c r="AA216" s="30" t="s">
        <v>2593</v>
      </c>
      <c r="AB216" t="s">
        <v>2594</v>
      </c>
    </row>
    <row r="217" spans="1:28" s="27" customFormat="1">
      <c r="A217" s="26" t="s">
        <v>2595</v>
      </c>
      <c r="B217" s="27" t="s">
        <v>319</v>
      </c>
      <c r="M217" s="49"/>
      <c r="AA217" s="127" t="s">
        <v>1545</v>
      </c>
      <c r="AB217" s="27" t="s">
        <v>2596</v>
      </c>
    </row>
    <row r="218" spans="1:28">
      <c r="A218" s="117" t="s">
        <v>2597</v>
      </c>
      <c r="B218" t="s">
        <v>180</v>
      </c>
      <c r="K218" t="s">
        <v>1551</v>
      </c>
      <c r="AA218" s="30" t="s">
        <v>2598</v>
      </c>
      <c r="AB218" t="s">
        <v>2599</v>
      </c>
    </row>
    <row r="219" spans="1:28" ht="27.75">
      <c r="A219" s="54" t="s">
        <v>2600</v>
      </c>
      <c r="B219" t="s">
        <v>180</v>
      </c>
      <c r="C219" t="s">
        <v>2601</v>
      </c>
      <c r="D219" t="s">
        <v>2601</v>
      </c>
      <c r="E219" t="s">
        <v>2602</v>
      </c>
      <c r="F219" t="s">
        <v>1551</v>
      </c>
      <c r="G219" s="45" t="s">
        <v>2603</v>
      </c>
      <c r="J219" t="s">
        <v>2604</v>
      </c>
      <c r="K219" t="s">
        <v>1551</v>
      </c>
      <c r="L219" t="s">
        <v>2604</v>
      </c>
      <c r="N219" s="45" t="s">
        <v>2605</v>
      </c>
      <c r="O219" t="s">
        <v>2606</v>
      </c>
      <c r="AA219" s="30" t="s">
        <v>1847</v>
      </c>
      <c r="AB219" t="s">
        <v>2607</v>
      </c>
    </row>
    <row r="220" spans="1:28">
      <c r="A220" s="117" t="s">
        <v>2608</v>
      </c>
      <c r="B220" t="s">
        <v>180</v>
      </c>
      <c r="K220" t="s">
        <v>1551</v>
      </c>
      <c r="X220" t="s">
        <v>2609</v>
      </c>
      <c r="AA220" s="30" t="s">
        <v>2610</v>
      </c>
      <c r="AB220" t="s">
        <v>2611</v>
      </c>
    </row>
    <row r="221" spans="1:28" ht="27.75">
      <c r="A221" s="117" t="s">
        <v>1305</v>
      </c>
      <c r="B221" t="s">
        <v>180</v>
      </c>
      <c r="C221" t="s">
        <v>2612</v>
      </c>
      <c r="K221" t="s">
        <v>1551</v>
      </c>
      <c r="N221" t="s">
        <v>2613</v>
      </c>
      <c r="O221" t="s">
        <v>1735</v>
      </c>
      <c r="P221" s="45" t="s">
        <v>2614</v>
      </c>
      <c r="W221" s="115" t="s">
        <v>2615</v>
      </c>
      <c r="X221" s="45" t="s">
        <v>2616</v>
      </c>
      <c r="AA221" s="30" t="s">
        <v>2617</v>
      </c>
      <c r="AB221" t="s">
        <v>2618</v>
      </c>
    </row>
    <row r="222" spans="1:28">
      <c r="A222" s="117" t="s">
        <v>2619</v>
      </c>
      <c r="B222" t="s">
        <v>180</v>
      </c>
      <c r="K222" t="s">
        <v>1551</v>
      </c>
      <c r="AA222" s="30" t="s">
        <v>2620</v>
      </c>
      <c r="AB222" t="s">
        <v>2621</v>
      </c>
    </row>
    <row r="223" spans="1:28" ht="27.75">
      <c r="A223" s="117" t="s">
        <v>2622</v>
      </c>
      <c r="B223" t="s">
        <v>180</v>
      </c>
      <c r="K223" t="s">
        <v>1551</v>
      </c>
      <c r="X223" s="45" t="s">
        <v>2623</v>
      </c>
      <c r="AA223" s="30" t="s">
        <v>2620</v>
      </c>
      <c r="AB223" t="s">
        <v>2624</v>
      </c>
    </row>
    <row r="224" spans="1:28">
      <c r="A224" s="117" t="s">
        <v>2625</v>
      </c>
      <c r="B224" t="s">
        <v>180</v>
      </c>
      <c r="C224" t="s">
        <v>2626</v>
      </c>
      <c r="K224" t="s">
        <v>1551</v>
      </c>
      <c r="X224" t="s">
        <v>2627</v>
      </c>
      <c r="AA224" s="30" t="s">
        <v>2628</v>
      </c>
      <c r="AB224" t="s">
        <v>2629</v>
      </c>
    </row>
    <row r="225" spans="1:28">
      <c r="A225" s="117" t="s">
        <v>2630</v>
      </c>
      <c r="B225" t="s">
        <v>180</v>
      </c>
      <c r="G225" t="s">
        <v>2631</v>
      </c>
      <c r="K225" t="s">
        <v>1551</v>
      </c>
      <c r="AA225" s="30" t="s">
        <v>2632</v>
      </c>
      <c r="AB225" t="s">
        <v>2633</v>
      </c>
    </row>
    <row r="226" spans="1:28">
      <c r="A226" s="117" t="s">
        <v>2634</v>
      </c>
      <c r="B226" t="s">
        <v>180</v>
      </c>
      <c r="C226" t="s">
        <v>2373</v>
      </c>
      <c r="K226" t="s">
        <v>1551</v>
      </c>
      <c r="N226" t="s">
        <v>2635</v>
      </c>
      <c r="AA226" s="30" t="s">
        <v>2636</v>
      </c>
      <c r="AB226" t="s">
        <v>2637</v>
      </c>
    </row>
    <row r="227" spans="1:28" s="27" customFormat="1">
      <c r="A227" s="26" t="s">
        <v>2638</v>
      </c>
      <c r="B227" s="27" t="s">
        <v>319</v>
      </c>
      <c r="M227" s="49"/>
      <c r="AA227" s="27" t="s">
        <v>122</v>
      </c>
      <c r="AB227" s="27" t="s">
        <v>2639</v>
      </c>
    </row>
    <row r="228" spans="1:28">
      <c r="A228" s="117" t="s">
        <v>1141</v>
      </c>
      <c r="B228" t="s">
        <v>180</v>
      </c>
      <c r="C228" t="s">
        <v>2640</v>
      </c>
      <c r="K228" t="s">
        <v>1551</v>
      </c>
      <c r="N228" t="s">
        <v>2641</v>
      </c>
      <c r="W228" t="s">
        <v>2642</v>
      </c>
      <c r="AA228" s="30" t="s">
        <v>2643</v>
      </c>
      <c r="AB228" t="s">
        <v>2644</v>
      </c>
    </row>
    <row r="229" spans="1:28">
      <c r="A229" s="117" t="s">
        <v>2645</v>
      </c>
      <c r="B229" t="s">
        <v>180</v>
      </c>
      <c r="C229" t="s">
        <v>2646</v>
      </c>
      <c r="K229" t="s">
        <v>1551</v>
      </c>
      <c r="N229" t="s">
        <v>2647</v>
      </c>
      <c r="AA229" s="30" t="s">
        <v>2648</v>
      </c>
      <c r="AB229" t="s">
        <v>2649</v>
      </c>
    </row>
    <row r="230" spans="1:28">
      <c r="A230" s="117" t="s">
        <v>2650</v>
      </c>
      <c r="B230" t="s">
        <v>180</v>
      </c>
      <c r="K230" t="s">
        <v>1551</v>
      </c>
      <c r="AA230" s="32" t="s">
        <v>2651</v>
      </c>
      <c r="AB230" t="s">
        <v>2652</v>
      </c>
    </row>
    <row r="231" spans="1:28" s="27" customFormat="1">
      <c r="A231" s="26" t="s">
        <v>2653</v>
      </c>
      <c r="B231" s="27" t="s">
        <v>319</v>
      </c>
      <c r="M231" s="49"/>
      <c r="AA231" s="127" t="s">
        <v>2654</v>
      </c>
      <c r="AB231" s="27" t="s">
        <v>2655</v>
      </c>
    </row>
    <row r="232" spans="1:28">
      <c r="A232" s="117" t="s">
        <v>2656</v>
      </c>
      <c r="B232" t="s">
        <v>180</v>
      </c>
      <c r="C232" t="s">
        <v>2657</v>
      </c>
      <c r="K232" t="s">
        <v>1551</v>
      </c>
      <c r="AA232" t="s">
        <v>122</v>
      </c>
      <c r="AB232" s="25" t="s">
        <v>2658</v>
      </c>
    </row>
    <row r="233" spans="1:28">
      <c r="A233" s="117" t="s">
        <v>2659</v>
      </c>
      <c r="B233" t="s">
        <v>180</v>
      </c>
      <c r="K233" t="s">
        <v>1551</v>
      </c>
      <c r="AA233" t="s">
        <v>122</v>
      </c>
      <c r="AB233" t="s">
        <v>2660</v>
      </c>
    </row>
    <row r="234" spans="1:28">
      <c r="A234" s="117" t="s">
        <v>2661</v>
      </c>
      <c r="B234" t="s">
        <v>180</v>
      </c>
      <c r="K234" t="s">
        <v>1551</v>
      </c>
      <c r="AA234" t="s">
        <v>122</v>
      </c>
      <c r="AB234" t="s">
        <v>2662</v>
      </c>
    </row>
    <row r="235" spans="1:28">
      <c r="A235" s="117" t="s">
        <v>2663</v>
      </c>
      <c r="B235" t="s">
        <v>180</v>
      </c>
      <c r="K235" t="s">
        <v>1551</v>
      </c>
      <c r="X235" t="s">
        <v>2664</v>
      </c>
      <c r="AA235" s="30" t="s">
        <v>2665</v>
      </c>
      <c r="AB235" t="s">
        <v>2666</v>
      </c>
    </row>
    <row r="236" spans="1:28">
      <c r="A236" s="117" t="s">
        <v>2667</v>
      </c>
      <c r="B236" t="s">
        <v>180</v>
      </c>
      <c r="K236" t="s">
        <v>1551</v>
      </c>
      <c r="AA236" s="30" t="s">
        <v>2668</v>
      </c>
      <c r="AB236" t="s">
        <v>2669</v>
      </c>
    </row>
    <row r="237" spans="1:28">
      <c r="A237" s="117" t="s">
        <v>2670</v>
      </c>
      <c r="B237" t="s">
        <v>180</v>
      </c>
      <c r="K237" t="s">
        <v>1551</v>
      </c>
      <c r="AA237" s="30" t="s">
        <v>2671</v>
      </c>
      <c r="AB237" t="s">
        <v>2672</v>
      </c>
    </row>
    <row r="238" spans="1:28">
      <c r="A238" s="117" t="s">
        <v>2673</v>
      </c>
      <c r="B238" t="s">
        <v>180</v>
      </c>
      <c r="G238" t="s">
        <v>2674</v>
      </c>
      <c r="K238" t="s">
        <v>1551</v>
      </c>
      <c r="AA238" s="30" t="s">
        <v>2675</v>
      </c>
      <c r="AB238" t="s">
        <v>2676</v>
      </c>
    </row>
    <row r="239" spans="1:28">
      <c r="A239" s="117" t="s">
        <v>1325</v>
      </c>
      <c r="B239" t="s">
        <v>180</v>
      </c>
      <c r="C239" t="s">
        <v>2677</v>
      </c>
      <c r="K239" t="s">
        <v>1551</v>
      </c>
      <c r="AA239" s="30" t="s">
        <v>2620</v>
      </c>
      <c r="AB239" t="s">
        <v>2678</v>
      </c>
    </row>
    <row r="240" spans="1:28">
      <c r="A240" s="117" t="s">
        <v>2679</v>
      </c>
      <c r="B240" t="s">
        <v>180</v>
      </c>
      <c r="C240" t="s">
        <v>2680</v>
      </c>
      <c r="K240" t="s">
        <v>1551</v>
      </c>
      <c r="P240" s="2" t="s">
        <v>2681</v>
      </c>
      <c r="X240" t="s">
        <v>2682</v>
      </c>
      <c r="AA240" s="30" t="s">
        <v>2683</v>
      </c>
      <c r="AB240" t="s">
        <v>2684</v>
      </c>
    </row>
    <row r="241" spans="1:28">
      <c r="A241" s="117" t="s">
        <v>2685</v>
      </c>
      <c r="B241" t="s">
        <v>180</v>
      </c>
      <c r="C241" t="s">
        <v>2686</v>
      </c>
      <c r="G241" t="s">
        <v>2687</v>
      </c>
      <c r="K241" t="s">
        <v>1551</v>
      </c>
      <c r="AA241" s="30" t="s">
        <v>2688</v>
      </c>
      <c r="AB241" t="s">
        <v>2689</v>
      </c>
    </row>
    <row r="242" spans="1:28">
      <c r="A242" s="117" t="s">
        <v>2690</v>
      </c>
      <c r="B242" t="s">
        <v>180</v>
      </c>
      <c r="K242" t="s">
        <v>1551</v>
      </c>
      <c r="AA242" s="30" t="s">
        <v>122</v>
      </c>
      <c r="AB242" t="s">
        <v>2691</v>
      </c>
    </row>
    <row r="243" spans="1:28">
      <c r="A243" s="117" t="s">
        <v>2692</v>
      </c>
      <c r="B243" t="s">
        <v>180</v>
      </c>
      <c r="K243" t="s">
        <v>1551</v>
      </c>
      <c r="AA243" s="30" t="s">
        <v>2693</v>
      </c>
      <c r="AB243" t="s">
        <v>2694</v>
      </c>
    </row>
    <row r="244" spans="1:28">
      <c r="A244" s="117" t="s">
        <v>1351</v>
      </c>
      <c r="B244" t="s">
        <v>180</v>
      </c>
      <c r="K244" t="s">
        <v>1551</v>
      </c>
      <c r="O244" t="s">
        <v>2695</v>
      </c>
      <c r="P244" t="s">
        <v>2696</v>
      </c>
      <c r="X244" t="s">
        <v>2697</v>
      </c>
      <c r="Z244" s="1" t="s">
        <v>1147</v>
      </c>
      <c r="AA244" s="30" t="s">
        <v>2698</v>
      </c>
      <c r="AB244" t="s">
        <v>2699</v>
      </c>
    </row>
    <row r="245" spans="1:28">
      <c r="A245" s="117" t="s">
        <v>2700</v>
      </c>
      <c r="B245" t="s">
        <v>180</v>
      </c>
      <c r="G245" t="s">
        <v>2701</v>
      </c>
      <c r="K245" t="s">
        <v>1551</v>
      </c>
      <c r="AA245" s="30" t="s">
        <v>2702</v>
      </c>
      <c r="AB245" t="s">
        <v>2703</v>
      </c>
    </row>
    <row r="246" spans="1:28">
      <c r="A246" s="117" t="s">
        <v>1366</v>
      </c>
      <c r="B246" t="s">
        <v>180</v>
      </c>
      <c r="G246" t="s">
        <v>2704</v>
      </c>
      <c r="K246" t="s">
        <v>1551</v>
      </c>
      <c r="N246" t="s">
        <v>2705</v>
      </c>
      <c r="O246" t="s">
        <v>1735</v>
      </c>
      <c r="AA246" s="30" t="s">
        <v>2706</v>
      </c>
      <c r="AB246" t="s">
        <v>2707</v>
      </c>
    </row>
    <row r="247" spans="1:28">
      <c r="A247" s="117" t="s">
        <v>2708</v>
      </c>
      <c r="B247" t="s">
        <v>180</v>
      </c>
      <c r="C247" t="s">
        <v>2709</v>
      </c>
      <c r="K247" t="s">
        <v>1551</v>
      </c>
      <c r="X247" t="s">
        <v>2710</v>
      </c>
      <c r="AA247" s="30" t="s">
        <v>2711</v>
      </c>
      <c r="AB247" t="s">
        <v>2712</v>
      </c>
    </row>
    <row r="248" spans="1:28">
      <c r="A248" s="117" t="s">
        <v>2713</v>
      </c>
      <c r="B248" t="s">
        <v>180</v>
      </c>
      <c r="C248" t="s">
        <v>2714</v>
      </c>
      <c r="K248" t="s">
        <v>1551</v>
      </c>
      <c r="AA248" s="30" t="s">
        <v>2715</v>
      </c>
      <c r="AB248" t="s">
        <v>2716</v>
      </c>
    </row>
    <row r="249" spans="1:28">
      <c r="A249" s="117" t="s">
        <v>2717</v>
      </c>
      <c r="B249" t="s">
        <v>180</v>
      </c>
      <c r="K249" t="s">
        <v>1551</v>
      </c>
      <c r="AA249" s="30" t="s">
        <v>2718</v>
      </c>
      <c r="AB249" t="s">
        <v>2719</v>
      </c>
    </row>
    <row r="250" spans="1:28">
      <c r="A250" s="54" t="s">
        <v>2720</v>
      </c>
      <c r="B250" t="s">
        <v>180</v>
      </c>
      <c r="C250" t="s">
        <v>2721</v>
      </c>
      <c r="D250" t="s">
        <v>2722</v>
      </c>
      <c r="E250" t="s">
        <v>2723</v>
      </c>
      <c r="F250" t="s">
        <v>1551</v>
      </c>
      <c r="G250" t="s">
        <v>1551</v>
      </c>
      <c r="H250" t="s">
        <v>1551</v>
      </c>
      <c r="J250" t="s">
        <v>2724</v>
      </c>
      <c r="K250" t="s">
        <v>2725</v>
      </c>
      <c r="L250" t="s">
        <v>2726</v>
      </c>
      <c r="M250" s="29" t="s">
        <v>2727</v>
      </c>
      <c r="N250" t="s">
        <v>2728</v>
      </c>
      <c r="P250" t="s">
        <v>2729</v>
      </c>
      <c r="W250" t="s">
        <v>2730</v>
      </c>
      <c r="X250" t="s">
        <v>2731</v>
      </c>
      <c r="AA250" s="30" t="s">
        <v>2732</v>
      </c>
      <c r="AB250" t="s">
        <v>2733</v>
      </c>
    </row>
    <row r="251" spans="1:28">
      <c r="A251" s="117" t="s">
        <v>2734</v>
      </c>
      <c r="B251" t="s">
        <v>180</v>
      </c>
      <c r="G251" t="s">
        <v>2735</v>
      </c>
      <c r="K251" t="s">
        <v>1551</v>
      </c>
      <c r="L251" t="s">
        <v>2735</v>
      </c>
      <c r="P251" t="s">
        <v>2736</v>
      </c>
      <c r="X251" t="s">
        <v>2737</v>
      </c>
      <c r="AA251" s="30" t="s">
        <v>2738</v>
      </c>
      <c r="AB251" t="s">
        <v>2739</v>
      </c>
    </row>
    <row r="252" spans="1:28">
      <c r="A252" s="117" t="s">
        <v>1159</v>
      </c>
      <c r="B252" t="s">
        <v>180</v>
      </c>
      <c r="K252" t="s">
        <v>1551</v>
      </c>
      <c r="AA252" t="s">
        <v>122</v>
      </c>
      <c r="AB252" t="s">
        <v>2740</v>
      </c>
    </row>
    <row r="253" spans="1:28">
      <c r="A253" s="117" t="s">
        <v>2741</v>
      </c>
      <c r="B253" t="s">
        <v>180</v>
      </c>
      <c r="C253" t="s">
        <v>2742</v>
      </c>
      <c r="G253" t="s">
        <v>2743</v>
      </c>
      <c r="K253" t="s">
        <v>1551</v>
      </c>
      <c r="X253" t="s">
        <v>2744</v>
      </c>
      <c r="AA253" t="s">
        <v>122</v>
      </c>
      <c r="AB253" t="s">
        <v>2745</v>
      </c>
    </row>
    <row r="254" spans="1:28">
      <c r="A254" s="117" t="s">
        <v>2746</v>
      </c>
      <c r="B254" t="s">
        <v>180</v>
      </c>
      <c r="K254" t="s">
        <v>1551</v>
      </c>
      <c r="AA254" t="s">
        <v>122</v>
      </c>
      <c r="AB254" t="s">
        <v>2747</v>
      </c>
    </row>
    <row r="255" spans="1:28">
      <c r="A255" s="117" t="s">
        <v>2748</v>
      </c>
      <c r="B255" t="s">
        <v>180</v>
      </c>
      <c r="K255" t="s">
        <v>1551</v>
      </c>
      <c r="AA255" s="30" t="s">
        <v>1653</v>
      </c>
      <c r="AB255" t="s">
        <v>2749</v>
      </c>
    </row>
    <row r="256" spans="1:28">
      <c r="A256" s="117" t="s">
        <v>2750</v>
      </c>
      <c r="B256" t="s">
        <v>180</v>
      </c>
      <c r="G256" t="s">
        <v>2751</v>
      </c>
      <c r="K256" t="s">
        <v>1551</v>
      </c>
      <c r="AA256" t="s">
        <v>122</v>
      </c>
      <c r="AB256" t="s">
        <v>2752</v>
      </c>
    </row>
    <row r="257" spans="1:28" ht="54.75">
      <c r="A257" s="117" t="s">
        <v>1354</v>
      </c>
      <c r="B257" t="s">
        <v>180</v>
      </c>
      <c r="C257" t="s">
        <v>2753</v>
      </c>
      <c r="G257" t="s">
        <v>2754</v>
      </c>
      <c r="K257" t="s">
        <v>1551</v>
      </c>
      <c r="P257" t="s">
        <v>2755</v>
      </c>
      <c r="X257" s="45" t="s">
        <v>2756</v>
      </c>
      <c r="AA257" t="s">
        <v>122</v>
      </c>
      <c r="AB257" t="s">
        <v>2757</v>
      </c>
    </row>
    <row r="258" spans="1:28">
      <c r="A258" s="117" t="s">
        <v>1173</v>
      </c>
      <c r="B258" t="s">
        <v>180</v>
      </c>
      <c r="K258" t="s">
        <v>1551</v>
      </c>
      <c r="N258" t="s">
        <v>2758</v>
      </c>
      <c r="W258" t="s">
        <v>1172</v>
      </c>
      <c r="AA258" s="30" t="s">
        <v>2759</v>
      </c>
      <c r="AB258" t="s">
        <v>2760</v>
      </c>
    </row>
    <row r="259" spans="1:28" ht="27.75">
      <c r="A259" s="117" t="s">
        <v>1410</v>
      </c>
      <c r="B259" t="s">
        <v>180</v>
      </c>
      <c r="G259" t="s">
        <v>2761</v>
      </c>
      <c r="K259" t="s">
        <v>1551</v>
      </c>
      <c r="X259" s="45" t="s">
        <v>2762</v>
      </c>
      <c r="AA259" s="30" t="s">
        <v>2763</v>
      </c>
      <c r="AB259" t="s">
        <v>2764</v>
      </c>
    </row>
    <row r="260" spans="1:28">
      <c r="A260" s="117" t="s">
        <v>2765</v>
      </c>
      <c r="B260" t="s">
        <v>180</v>
      </c>
      <c r="G260" t="s">
        <v>2766</v>
      </c>
      <c r="K260" t="s">
        <v>1551</v>
      </c>
      <c r="O260" t="s">
        <v>1735</v>
      </c>
      <c r="W260" t="s">
        <v>1018</v>
      </c>
      <c r="AA260" s="30" t="s">
        <v>2767</v>
      </c>
      <c r="AB260" t="s">
        <v>2768</v>
      </c>
    </row>
    <row r="261" spans="1:28">
      <c r="A261" s="117" t="s">
        <v>1470</v>
      </c>
      <c r="B261" t="s">
        <v>180</v>
      </c>
      <c r="C261" t="s">
        <v>2769</v>
      </c>
      <c r="K261" t="s">
        <v>1551</v>
      </c>
      <c r="N261" t="s">
        <v>2770</v>
      </c>
      <c r="X261" t="s">
        <v>2771</v>
      </c>
      <c r="AA261" s="31" t="s">
        <v>1545</v>
      </c>
      <c r="AB261" s="25" t="s">
        <v>2772</v>
      </c>
    </row>
    <row r="262" spans="1:28">
      <c r="A262" s="117" t="s">
        <v>2773</v>
      </c>
      <c r="B262" t="s">
        <v>180</v>
      </c>
      <c r="C262" t="s">
        <v>2774</v>
      </c>
      <c r="G262" t="s">
        <v>2775</v>
      </c>
      <c r="K262" t="s">
        <v>1551</v>
      </c>
      <c r="AA262" s="30" t="s">
        <v>2776</v>
      </c>
      <c r="AB262" t="s">
        <v>2777</v>
      </c>
    </row>
    <row r="263" spans="1:28">
      <c r="A263" s="54" t="s">
        <v>1176</v>
      </c>
      <c r="B263" t="s">
        <v>180</v>
      </c>
      <c r="E263" t="s">
        <v>2778</v>
      </c>
      <c r="G263" t="s">
        <v>2779</v>
      </c>
      <c r="K263" t="s">
        <v>2780</v>
      </c>
      <c r="W263" t="s">
        <v>2781</v>
      </c>
      <c r="AA263" s="30" t="s">
        <v>2782</v>
      </c>
      <c r="AB263" t="s">
        <v>2783</v>
      </c>
    </row>
    <row r="264" spans="1:28">
      <c r="A264" s="117" t="s">
        <v>2784</v>
      </c>
      <c r="B264" t="s">
        <v>180</v>
      </c>
      <c r="C264" t="s">
        <v>2785</v>
      </c>
      <c r="G264" t="s">
        <v>2786</v>
      </c>
      <c r="K264" t="s">
        <v>1551</v>
      </c>
      <c r="N264" t="s">
        <v>2787</v>
      </c>
      <c r="AA264" t="s">
        <v>122</v>
      </c>
      <c r="AB264" t="s">
        <v>2788</v>
      </c>
    </row>
    <row r="265" spans="1:28">
      <c r="A265" s="117" t="s">
        <v>2789</v>
      </c>
      <c r="B265" t="s">
        <v>180</v>
      </c>
      <c r="G265" t="s">
        <v>2790</v>
      </c>
      <c r="K265" t="s">
        <v>1551</v>
      </c>
      <c r="AA265" s="30" t="s">
        <v>2791</v>
      </c>
      <c r="AB265" t="s">
        <v>2792</v>
      </c>
    </row>
    <row r="266" spans="1:28">
      <c r="A266" s="117" t="s">
        <v>2793</v>
      </c>
      <c r="B266" t="s">
        <v>180</v>
      </c>
      <c r="C266" t="s">
        <v>2794</v>
      </c>
      <c r="G266" t="s">
        <v>2795</v>
      </c>
      <c r="K266" t="s">
        <v>1551</v>
      </c>
      <c r="N266" t="s">
        <v>2796</v>
      </c>
      <c r="AA266" s="30" t="s">
        <v>2797</v>
      </c>
      <c r="AB266" t="s">
        <v>2798</v>
      </c>
    </row>
    <row r="267" spans="1:28" ht="27.75">
      <c r="A267" s="117" t="s">
        <v>2799</v>
      </c>
      <c r="B267" t="s">
        <v>180</v>
      </c>
      <c r="C267" t="s">
        <v>2800</v>
      </c>
      <c r="K267" t="s">
        <v>1551</v>
      </c>
      <c r="N267" t="s">
        <v>2801</v>
      </c>
      <c r="X267" s="45" t="s">
        <v>2802</v>
      </c>
      <c r="AA267" s="30" t="s">
        <v>2803</v>
      </c>
      <c r="AB267" t="s">
        <v>2804</v>
      </c>
    </row>
    <row r="268" spans="1:28" ht="27.75">
      <c r="A268" s="117" t="s">
        <v>2805</v>
      </c>
      <c r="B268" t="s">
        <v>180</v>
      </c>
      <c r="C268" t="s">
        <v>2806</v>
      </c>
      <c r="G268" s="45" t="s">
        <v>2807</v>
      </c>
      <c r="K268" t="s">
        <v>1551</v>
      </c>
      <c r="L268" s="45" t="s">
        <v>2807</v>
      </c>
      <c r="X268" t="s">
        <v>2808</v>
      </c>
      <c r="AA268" s="30" t="s">
        <v>2620</v>
      </c>
      <c r="AB268" t="s">
        <v>2809</v>
      </c>
    </row>
    <row r="269" spans="1:28">
      <c r="A269" s="119" t="s">
        <v>2810</v>
      </c>
      <c r="B269" t="s">
        <v>180</v>
      </c>
      <c r="C269" t="s">
        <v>2811</v>
      </c>
      <c r="K269" t="s">
        <v>1551</v>
      </c>
      <c r="W269" s="24" t="s">
        <v>1170</v>
      </c>
      <c r="AA269" s="30" t="s">
        <v>2812</v>
      </c>
      <c r="AB269" t="s">
        <v>2813</v>
      </c>
    </row>
    <row r="270" spans="1:28">
      <c r="A270" s="117" t="s">
        <v>2814</v>
      </c>
      <c r="B270" t="s">
        <v>180</v>
      </c>
      <c r="K270" t="s">
        <v>1551</v>
      </c>
      <c r="N270" t="s">
        <v>2815</v>
      </c>
      <c r="AA270" s="30" t="s">
        <v>1545</v>
      </c>
      <c r="AB270" t="s">
        <v>2816</v>
      </c>
    </row>
    <row r="271" spans="1:28">
      <c r="A271" s="119" t="s">
        <v>1206</v>
      </c>
      <c r="B271" t="s">
        <v>180</v>
      </c>
      <c r="C271" t="s">
        <v>2817</v>
      </c>
      <c r="G271" t="s">
        <v>2818</v>
      </c>
      <c r="K271" s="40"/>
      <c r="P271" s="1" t="s">
        <v>2819</v>
      </c>
      <c r="W271" s="24"/>
      <c r="AA271" s="30" t="s">
        <v>1847</v>
      </c>
      <c r="AB271" t="s">
        <v>2820</v>
      </c>
    </row>
    <row r="272" spans="1:28">
      <c r="A272" s="117" t="s">
        <v>2821</v>
      </c>
      <c r="B272" t="s">
        <v>180</v>
      </c>
      <c r="K272" t="s">
        <v>1551</v>
      </c>
      <c r="AA272" s="30" t="s">
        <v>2822</v>
      </c>
      <c r="AB272" t="s">
        <v>2823</v>
      </c>
    </row>
    <row r="273" spans="1:28">
      <c r="A273" s="117" t="s">
        <v>2824</v>
      </c>
      <c r="B273" t="s">
        <v>180</v>
      </c>
      <c r="K273" t="s">
        <v>1551</v>
      </c>
      <c r="AA273" s="30" t="s">
        <v>2825</v>
      </c>
      <c r="AB273" t="s">
        <v>2826</v>
      </c>
    </row>
    <row r="274" spans="1:28">
      <c r="A274" s="119" t="s">
        <v>1214</v>
      </c>
      <c r="B274" t="s">
        <v>180</v>
      </c>
      <c r="C274" t="s">
        <v>2827</v>
      </c>
      <c r="K274" t="s">
        <v>2828</v>
      </c>
      <c r="W274" t="s">
        <v>2829</v>
      </c>
      <c r="AA274" s="30" t="s">
        <v>2830</v>
      </c>
      <c r="AB274" t="s">
        <v>2831</v>
      </c>
    </row>
    <row r="275" spans="1:28">
      <c r="A275" s="117" t="s">
        <v>2832</v>
      </c>
      <c r="B275" t="s">
        <v>180</v>
      </c>
      <c r="C275" t="s">
        <v>2833</v>
      </c>
      <c r="K275" t="s">
        <v>1551</v>
      </c>
      <c r="AA275" s="30" t="s">
        <v>2834</v>
      </c>
      <c r="AB275" t="s">
        <v>2835</v>
      </c>
    </row>
    <row r="276" spans="1:28">
      <c r="A276" s="119" t="s">
        <v>1216</v>
      </c>
      <c r="B276" t="s">
        <v>180</v>
      </c>
      <c r="K276" t="s">
        <v>1551</v>
      </c>
      <c r="AA276" s="30" t="s">
        <v>2836</v>
      </c>
      <c r="AB276" t="s">
        <v>2837</v>
      </c>
    </row>
    <row r="277" spans="1:28">
      <c r="A277" s="26" t="s">
        <v>2838</v>
      </c>
      <c r="B277" s="27" t="s">
        <v>319</v>
      </c>
      <c r="C277" s="27"/>
      <c r="D277" s="27"/>
      <c r="E277" s="27"/>
      <c r="F277" s="27"/>
      <c r="G277" s="27"/>
      <c r="H277" s="27"/>
      <c r="I277" s="27"/>
      <c r="J277" s="27"/>
      <c r="K277" s="27"/>
      <c r="L277" s="27"/>
      <c r="M277" s="49"/>
      <c r="N277" s="27"/>
      <c r="P277" s="27"/>
      <c r="AA277" s="30" t="s">
        <v>2839</v>
      </c>
      <c r="AB277" t="s">
        <v>2840</v>
      </c>
    </row>
    <row r="278" spans="1:28" ht="27.75">
      <c r="A278" s="54" t="s">
        <v>2841</v>
      </c>
      <c r="B278" t="s">
        <v>180</v>
      </c>
      <c r="C278" t="s">
        <v>2842</v>
      </c>
      <c r="D278" t="s">
        <v>2843</v>
      </c>
      <c r="E278" t="s">
        <v>2844</v>
      </c>
      <c r="F278" t="s">
        <v>1551</v>
      </c>
      <c r="G278" t="s">
        <v>2845</v>
      </c>
      <c r="J278" t="s">
        <v>2846</v>
      </c>
      <c r="K278" s="45" t="s">
        <v>2847</v>
      </c>
      <c r="L278" t="s">
        <v>2848</v>
      </c>
      <c r="M278" s="29" t="s">
        <v>2849</v>
      </c>
      <c r="N278" t="s">
        <v>2850</v>
      </c>
      <c r="O278" t="s">
        <v>1735</v>
      </c>
      <c r="P278" t="s">
        <v>2851</v>
      </c>
      <c r="AA278" s="30" t="s">
        <v>2852</v>
      </c>
      <c r="AB278" t="s">
        <v>2853</v>
      </c>
    </row>
    <row r="279" spans="1:28" ht="27.75">
      <c r="A279" s="117" t="s">
        <v>2854</v>
      </c>
      <c r="B279" t="s">
        <v>180</v>
      </c>
      <c r="G279" s="45" t="s">
        <v>2855</v>
      </c>
      <c r="K279" t="s">
        <v>1551</v>
      </c>
      <c r="L279" t="s">
        <v>2856</v>
      </c>
      <c r="AA279" s="30" t="s">
        <v>2857</v>
      </c>
      <c r="AB279" t="s">
        <v>2858</v>
      </c>
    </row>
    <row r="280" spans="1:28">
      <c r="A280" s="117" t="s">
        <v>2859</v>
      </c>
      <c r="B280" t="s">
        <v>180</v>
      </c>
      <c r="K280" t="s">
        <v>1551</v>
      </c>
      <c r="N280" t="s">
        <v>2860</v>
      </c>
      <c r="O280" t="s">
        <v>1735</v>
      </c>
      <c r="W280" t="s">
        <v>2861</v>
      </c>
      <c r="AA280" s="43" t="s">
        <v>2862</v>
      </c>
      <c r="AB280" t="s">
        <v>2863</v>
      </c>
    </row>
    <row r="281" spans="1:28">
      <c r="A281" s="24" t="s">
        <v>2864</v>
      </c>
      <c r="B281" t="s">
        <v>180</v>
      </c>
      <c r="G281" t="s">
        <v>2865</v>
      </c>
      <c r="K281" t="s">
        <v>1551</v>
      </c>
      <c r="AA281" s="30" t="s">
        <v>2866</v>
      </c>
      <c r="AB281" s="25" t="s">
        <v>2867</v>
      </c>
    </row>
    <row r="282" spans="1:28">
      <c r="A282" s="54" t="s">
        <v>1222</v>
      </c>
      <c r="B282" t="s">
        <v>180</v>
      </c>
      <c r="G282" t="s">
        <v>2868</v>
      </c>
      <c r="K282" t="s">
        <v>1551</v>
      </c>
      <c r="O282" t="s">
        <v>1735</v>
      </c>
      <c r="W282" t="s">
        <v>2869</v>
      </c>
      <c r="AA282" s="30" t="s">
        <v>2870</v>
      </c>
      <c r="AB282" t="s">
        <v>2871</v>
      </c>
    </row>
    <row r="283" spans="1:28">
      <c r="A283" s="26" t="s">
        <v>2872</v>
      </c>
      <c r="B283" s="27" t="s">
        <v>319</v>
      </c>
      <c r="C283" s="27"/>
      <c r="D283" s="27"/>
      <c r="E283" s="27"/>
      <c r="F283" s="27"/>
      <c r="G283" s="27"/>
      <c r="H283" s="27"/>
      <c r="I283" s="27"/>
      <c r="J283" s="27"/>
      <c r="K283" s="27"/>
      <c r="L283" s="27"/>
      <c r="M283" s="49"/>
      <c r="N283" s="27"/>
      <c r="P283" s="27"/>
      <c r="AA283" s="30" t="s">
        <v>2873</v>
      </c>
      <c r="AB283" t="s">
        <v>2874</v>
      </c>
    </row>
    <row r="284" spans="1:28">
      <c r="A284" s="54" t="s">
        <v>1227</v>
      </c>
      <c r="B284" t="s">
        <v>180</v>
      </c>
      <c r="C284" t="s">
        <v>2875</v>
      </c>
      <c r="K284" t="s">
        <v>2876</v>
      </c>
      <c r="W284" s="24" t="s">
        <v>1226</v>
      </c>
      <c r="AA284" s="32" t="s">
        <v>2877</v>
      </c>
      <c r="AB284" t="s">
        <v>2878</v>
      </c>
    </row>
    <row r="285" spans="1:28">
      <c r="A285" s="117" t="s">
        <v>2879</v>
      </c>
      <c r="B285" t="s">
        <v>180</v>
      </c>
      <c r="K285" t="s">
        <v>1551</v>
      </c>
      <c r="AA285" s="30" t="s">
        <v>2880</v>
      </c>
      <c r="AB285" t="s">
        <v>2881</v>
      </c>
    </row>
    <row r="286" spans="1:28">
      <c r="A286" s="117" t="s">
        <v>2882</v>
      </c>
      <c r="B286" t="s">
        <v>180</v>
      </c>
      <c r="K286" t="s">
        <v>1551</v>
      </c>
      <c r="X286" t="s">
        <v>2883</v>
      </c>
      <c r="AA286" t="s">
        <v>122</v>
      </c>
      <c r="AB286" t="s">
        <v>2884</v>
      </c>
    </row>
    <row r="287" spans="1:28">
      <c r="A287" s="117" t="s">
        <v>2885</v>
      </c>
      <c r="B287" t="s">
        <v>180</v>
      </c>
      <c r="K287" t="s">
        <v>1551</v>
      </c>
      <c r="AA287" t="s">
        <v>122</v>
      </c>
      <c r="AB287" t="s">
        <v>2886</v>
      </c>
    </row>
    <row r="288" spans="1:28">
      <c r="A288" s="117" t="s">
        <v>2887</v>
      </c>
      <c r="B288" t="s">
        <v>180</v>
      </c>
      <c r="K288" t="s">
        <v>1551</v>
      </c>
      <c r="P288" s="1" t="s">
        <v>773</v>
      </c>
      <c r="AA288" s="30" t="s">
        <v>2888</v>
      </c>
      <c r="AB288" t="s">
        <v>2889</v>
      </c>
    </row>
    <row r="289" spans="1:29" ht="27.75">
      <c r="A289" s="117" t="s">
        <v>2890</v>
      </c>
      <c r="B289" t="s">
        <v>180</v>
      </c>
      <c r="C289" t="s">
        <v>2891</v>
      </c>
      <c r="K289" t="s">
        <v>1551</v>
      </c>
      <c r="X289" s="45" t="s">
        <v>2892</v>
      </c>
      <c r="AA289" s="30" t="s">
        <v>2893</v>
      </c>
      <c r="AB289" t="s">
        <v>2894</v>
      </c>
    </row>
    <row r="290" spans="1:29">
      <c r="A290" s="117" t="s">
        <v>297</v>
      </c>
      <c r="B290" t="s">
        <v>180</v>
      </c>
      <c r="C290" t="s">
        <v>2478</v>
      </c>
      <c r="K290" t="s">
        <v>1551</v>
      </c>
      <c r="AA290" s="30" t="s">
        <v>2895</v>
      </c>
      <c r="AB290" t="s">
        <v>2896</v>
      </c>
    </row>
    <row r="291" spans="1:29" ht="27.75">
      <c r="A291" s="117" t="s">
        <v>2897</v>
      </c>
      <c r="B291" t="s">
        <v>180</v>
      </c>
      <c r="C291" t="s">
        <v>2898</v>
      </c>
      <c r="K291" t="s">
        <v>1551</v>
      </c>
      <c r="N291" s="45" t="s">
        <v>2899</v>
      </c>
      <c r="AA291" s="30" t="s">
        <v>2900</v>
      </c>
      <c r="AB291" t="s">
        <v>2901</v>
      </c>
    </row>
    <row r="292" spans="1:29">
      <c r="A292" s="117" t="s">
        <v>2902</v>
      </c>
      <c r="B292" t="s">
        <v>180</v>
      </c>
      <c r="C292" t="s">
        <v>2903</v>
      </c>
      <c r="K292" t="s">
        <v>1551</v>
      </c>
      <c r="N292" t="s">
        <v>2904</v>
      </c>
      <c r="X292" t="s">
        <v>2905</v>
      </c>
      <c r="AA292" s="30" t="s">
        <v>2906</v>
      </c>
      <c r="AB292" t="s">
        <v>2907</v>
      </c>
    </row>
    <row r="293" spans="1:29">
      <c r="A293" s="117" t="s">
        <v>2908</v>
      </c>
      <c r="B293" t="s">
        <v>180</v>
      </c>
      <c r="K293" t="s">
        <v>1551</v>
      </c>
      <c r="AA293" t="s">
        <v>2909</v>
      </c>
      <c r="AB293" t="s">
        <v>2910</v>
      </c>
    </row>
    <row r="294" spans="1:29" ht="41.25">
      <c r="A294" s="117" t="s">
        <v>2911</v>
      </c>
      <c r="B294" s="135" t="s">
        <v>180</v>
      </c>
      <c r="C294" s="135" t="s">
        <v>2912</v>
      </c>
      <c r="D294" s="135"/>
      <c r="E294" s="135"/>
      <c r="F294" s="135"/>
      <c r="G294" s="135"/>
      <c r="H294" s="135"/>
      <c r="I294" s="135"/>
      <c r="J294" s="135"/>
      <c r="K294" s="135" t="s">
        <v>1551</v>
      </c>
      <c r="L294" s="135"/>
      <c r="M294" s="136"/>
      <c r="N294" s="135"/>
      <c r="O294" s="135"/>
      <c r="P294" s="135"/>
      <c r="Q294" s="135"/>
      <c r="R294" s="135"/>
      <c r="S294" s="135"/>
      <c r="T294" s="135"/>
      <c r="U294" s="135" t="s">
        <v>2913</v>
      </c>
      <c r="V294" s="135"/>
      <c r="W294" s="135"/>
      <c r="X294" s="128" t="s">
        <v>2914</v>
      </c>
      <c r="Y294" s="135"/>
      <c r="Z294" s="135"/>
      <c r="AA294" s="135" t="s">
        <v>2688</v>
      </c>
      <c r="AB294" s="135" t="s">
        <v>2915</v>
      </c>
      <c r="AC294" s="135"/>
    </row>
    <row r="295" spans="1:29">
      <c r="A295" s="117" t="s">
        <v>2916</v>
      </c>
      <c r="B295" t="s">
        <v>180</v>
      </c>
      <c r="X295" t="s">
        <v>2917</v>
      </c>
      <c r="AA295" t="s">
        <v>122</v>
      </c>
      <c r="AB295" t="s">
        <v>2918</v>
      </c>
    </row>
    <row r="296" spans="1:29">
      <c r="A296" s="24"/>
    </row>
  </sheetData>
  <dataValidations count="2">
    <dataValidation type="list" allowBlank="1" showInputMessage="1" showErrorMessage="1" sqref="B2:B1048576 C296:Q1048576 G2" xr:uid="{00000000-0002-0000-0800-000000000000}">
      <formula1>"SIM, NÃO"</formula1>
    </dataValidation>
    <dataValidation allowBlank="1" showInputMessage="1" showErrorMessage="1" sqref="L136:L295 O75:O131 L2:L134 Q2:Q139 P289:P295 O133:O295 G97:G295 P140:Q155 Q156:Q295 P157:P239 P241:P270 P272:P287 O2:O73 C2:F295 H2:K295 G2:G95 P97:P138 P2:P95 M2:N295" xr:uid="{00000000-0002-0000-0800-000001000000}"/>
  </dataValidations>
  <hyperlinks>
    <hyperlink ref="AB7" r:id="rId1" xr:uid="{00000000-0004-0000-0800-000000000000}"/>
    <hyperlink ref="AB68" r:id="rId2" xr:uid="{00000000-0004-0000-0800-000001000000}"/>
    <hyperlink ref="AB70" r:id="rId3" xr:uid="{00000000-0004-0000-0800-000002000000}"/>
    <hyperlink ref="V3" r:id="rId4" xr:uid="{00000000-0004-0000-0800-000003000000}"/>
  </hyperlinks>
  <pageMargins left="0.7" right="0.7" top="0.75" bottom="0.75" header="0.3" footer="0.3"/>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108"/>
  <sheetViews>
    <sheetView topLeftCell="C23" zoomScale="80" zoomScaleNormal="90" workbookViewId="0">
      <selection activeCell="F100" sqref="F100"/>
    </sheetView>
  </sheetViews>
  <sheetFormatPr defaultRowHeight="15"/>
  <cols>
    <col min="1" max="1" width="12.85546875" customWidth="1"/>
    <col min="2" max="2" width="36.140625" customWidth="1"/>
    <col min="3" max="3" width="17.140625" customWidth="1"/>
    <col min="4" max="4" width="40" customWidth="1"/>
    <col min="5" max="5" width="13.85546875" customWidth="1"/>
    <col min="6" max="6" width="43.7109375" customWidth="1"/>
    <col min="7" max="7" width="14.7109375" customWidth="1"/>
  </cols>
  <sheetData>
    <row r="2" spans="1:7" ht="18.75" customHeight="1">
      <c r="B2" s="253" t="s">
        <v>2919</v>
      </c>
      <c r="C2" s="254"/>
      <c r="D2" s="254"/>
      <c r="E2" s="254"/>
      <c r="F2" s="254"/>
      <c r="G2" s="255"/>
    </row>
    <row r="3" spans="1:7" ht="21" customHeight="1">
      <c r="A3" s="3"/>
      <c r="B3" s="7" t="s">
        <v>173</v>
      </c>
      <c r="C3" s="12" t="s">
        <v>1483</v>
      </c>
      <c r="D3" s="13" t="s">
        <v>2920</v>
      </c>
      <c r="E3" s="7" t="s">
        <v>2921</v>
      </c>
      <c r="F3" s="7" t="s">
        <v>2922</v>
      </c>
      <c r="G3" s="12" t="s">
        <v>2921</v>
      </c>
    </row>
    <row r="4" spans="1:7">
      <c r="A4" s="3"/>
      <c r="B4" s="10" t="s">
        <v>2923</v>
      </c>
      <c r="C4" s="8">
        <v>13148.14</v>
      </c>
      <c r="D4" s="9" t="s">
        <v>2924</v>
      </c>
      <c r="E4" s="10">
        <v>84.13</v>
      </c>
      <c r="F4" s="10" t="s">
        <v>2925</v>
      </c>
      <c r="G4" s="8">
        <v>400</v>
      </c>
    </row>
    <row r="5" spans="1:7">
      <c r="B5" s="10" t="s">
        <v>2926</v>
      </c>
      <c r="C5" s="8">
        <v>49800</v>
      </c>
      <c r="D5" s="9" t="s">
        <v>2927</v>
      </c>
      <c r="E5" s="10">
        <v>5237</v>
      </c>
      <c r="F5" s="10" t="s">
        <v>2928</v>
      </c>
      <c r="G5" s="8">
        <v>800</v>
      </c>
    </row>
    <row r="6" spans="1:7">
      <c r="B6" s="10" t="s">
        <v>2929</v>
      </c>
      <c r="C6" s="8">
        <v>4385.3599999999997</v>
      </c>
      <c r="D6" s="9" t="s">
        <v>2930</v>
      </c>
      <c r="E6" s="10">
        <v>1899</v>
      </c>
      <c r="F6" s="10" t="s">
        <v>2931</v>
      </c>
      <c r="G6" s="8">
        <v>0.34</v>
      </c>
    </row>
    <row r="7" spans="1:7">
      <c r="B7" s="10" t="s">
        <v>2932</v>
      </c>
      <c r="C7" s="8">
        <v>1604.36</v>
      </c>
      <c r="D7" s="9" t="s">
        <v>2933</v>
      </c>
      <c r="E7" s="10">
        <v>1330</v>
      </c>
      <c r="F7" s="10" t="s">
        <v>2934</v>
      </c>
      <c r="G7" s="8">
        <v>2014.7</v>
      </c>
    </row>
    <row r="8" spans="1:7">
      <c r="B8" s="10" t="s">
        <v>2935</v>
      </c>
      <c r="C8" s="8">
        <v>706.54</v>
      </c>
      <c r="D8" s="9" t="s">
        <v>2936</v>
      </c>
      <c r="E8" s="10">
        <v>7672</v>
      </c>
      <c r="F8" s="10" t="s">
        <v>2937</v>
      </c>
      <c r="G8" s="8">
        <v>22.29</v>
      </c>
    </row>
    <row r="9" spans="1:7">
      <c r="B9" s="10" t="s">
        <v>2938</v>
      </c>
      <c r="C9" s="8">
        <v>759.34</v>
      </c>
      <c r="D9" s="9" t="s">
        <v>567</v>
      </c>
      <c r="E9" s="10">
        <v>740</v>
      </c>
      <c r="F9" s="10" t="s">
        <v>2939</v>
      </c>
      <c r="G9" s="8" t="s">
        <v>368</v>
      </c>
    </row>
    <row r="10" spans="1:7">
      <c r="B10" s="10" t="s">
        <v>2940</v>
      </c>
      <c r="C10" s="8">
        <v>519.35</v>
      </c>
      <c r="D10" s="9" t="s">
        <v>2941</v>
      </c>
      <c r="E10" s="10">
        <v>612</v>
      </c>
      <c r="F10" s="10" t="s">
        <v>2942</v>
      </c>
      <c r="G10" s="8">
        <v>40842</v>
      </c>
    </row>
    <row r="11" spans="1:7">
      <c r="B11" s="10" t="s">
        <v>2943</v>
      </c>
      <c r="C11" s="8">
        <v>17104.599999999999</v>
      </c>
      <c r="D11" s="9" t="s">
        <v>592</v>
      </c>
      <c r="E11" s="10">
        <v>1200</v>
      </c>
      <c r="F11" s="10" t="s">
        <v>2944</v>
      </c>
      <c r="G11" s="8">
        <v>491.5</v>
      </c>
    </row>
    <row r="12" spans="1:7">
      <c r="B12" s="10" t="s">
        <v>2945</v>
      </c>
      <c r="C12" s="8">
        <v>5016.6000000000004</v>
      </c>
      <c r="D12" s="9" t="s">
        <v>2946</v>
      </c>
      <c r="E12" s="10">
        <v>6667</v>
      </c>
      <c r="F12" s="10" t="s">
        <v>2947</v>
      </c>
      <c r="G12" s="8">
        <v>9325</v>
      </c>
    </row>
    <row r="13" spans="1:7">
      <c r="B13" s="10" t="s">
        <v>2948</v>
      </c>
      <c r="C13" s="8">
        <v>17302.009999999998</v>
      </c>
      <c r="D13" s="9" t="s">
        <v>2949</v>
      </c>
      <c r="E13" s="10">
        <v>1532</v>
      </c>
      <c r="F13" s="10" t="s">
        <v>2950</v>
      </c>
      <c r="G13" s="8">
        <v>16000</v>
      </c>
    </row>
    <row r="14" spans="1:7">
      <c r="B14" s="10" t="s">
        <v>2951</v>
      </c>
      <c r="C14" s="8">
        <v>4436.59</v>
      </c>
      <c r="D14" s="9" t="s">
        <v>2952</v>
      </c>
      <c r="E14" s="10">
        <v>21.4</v>
      </c>
      <c r="F14" s="10" t="s">
        <v>2953</v>
      </c>
      <c r="G14" s="8">
        <v>8000</v>
      </c>
    </row>
    <row r="15" spans="1:7">
      <c r="B15" s="10" t="s">
        <v>2954</v>
      </c>
      <c r="C15" s="8">
        <v>1712.1</v>
      </c>
      <c r="D15" s="9" t="s">
        <v>2955</v>
      </c>
      <c r="E15" s="10">
        <v>5.58</v>
      </c>
      <c r="F15" s="10" t="s">
        <v>2956</v>
      </c>
      <c r="G15" s="8">
        <v>23000</v>
      </c>
    </row>
    <row r="16" spans="1:7">
      <c r="B16" s="10" t="s">
        <v>2957</v>
      </c>
      <c r="C16" s="8">
        <v>154867.4</v>
      </c>
      <c r="D16" s="9" t="s">
        <v>2958</v>
      </c>
      <c r="E16" s="10">
        <v>2850</v>
      </c>
      <c r="F16" s="10" t="s">
        <v>2959</v>
      </c>
      <c r="G16" s="8">
        <v>7000</v>
      </c>
    </row>
    <row r="17" spans="2:7">
      <c r="B17" s="10" t="s">
        <v>2960</v>
      </c>
      <c r="C17" s="8">
        <v>57375.14</v>
      </c>
      <c r="D17" s="9" t="s">
        <v>2961</v>
      </c>
      <c r="E17" s="10">
        <v>16.829999999999998</v>
      </c>
      <c r="F17" s="10" t="s">
        <v>2962</v>
      </c>
      <c r="G17" s="8" t="s">
        <v>368</v>
      </c>
    </row>
    <row r="18" spans="2:7">
      <c r="B18" s="10" t="s">
        <v>2963</v>
      </c>
      <c r="C18" s="8">
        <v>6566.54</v>
      </c>
      <c r="D18" s="9" t="s">
        <v>2964</v>
      </c>
      <c r="E18" s="10">
        <v>16.46</v>
      </c>
      <c r="F18" s="10" t="s">
        <v>2965</v>
      </c>
      <c r="G18" s="8">
        <v>2406.23</v>
      </c>
    </row>
    <row r="19" spans="2:7">
      <c r="B19" s="10" t="s">
        <v>2966</v>
      </c>
      <c r="C19" s="8">
        <v>12809.59</v>
      </c>
      <c r="D19" s="9" t="s">
        <v>2967</v>
      </c>
      <c r="E19" s="10">
        <v>18.36</v>
      </c>
      <c r="F19" s="10" t="s">
        <v>2968</v>
      </c>
      <c r="G19" s="8" t="s">
        <v>368</v>
      </c>
    </row>
    <row r="20" spans="2:7" ht="27.75">
      <c r="B20" s="10" t="s">
        <v>2969</v>
      </c>
      <c r="C20" s="8">
        <v>1854</v>
      </c>
      <c r="D20" s="9" t="s">
        <v>2970</v>
      </c>
      <c r="E20" s="10">
        <v>12</v>
      </c>
      <c r="F20" s="11" t="s">
        <v>2971</v>
      </c>
      <c r="G20" s="8" t="s">
        <v>368</v>
      </c>
    </row>
    <row r="21" spans="2:7">
      <c r="B21" s="10" t="s">
        <v>2972</v>
      </c>
      <c r="C21" s="8">
        <v>590.6</v>
      </c>
      <c r="D21" s="9" t="s">
        <v>2973</v>
      </c>
      <c r="E21" s="10">
        <v>35.04</v>
      </c>
      <c r="F21" s="10" t="s">
        <v>2974</v>
      </c>
      <c r="G21" s="8" t="s">
        <v>368</v>
      </c>
    </row>
    <row r="22" spans="2:7">
      <c r="B22" s="10" t="s">
        <v>2975</v>
      </c>
      <c r="C22" s="8">
        <v>5296.16</v>
      </c>
      <c r="D22" s="9" t="s">
        <v>2976</v>
      </c>
      <c r="E22" s="10">
        <v>0.7</v>
      </c>
      <c r="F22" s="10" t="s">
        <v>2977</v>
      </c>
      <c r="G22" s="8">
        <v>38.92</v>
      </c>
    </row>
    <row r="23" spans="2:7">
      <c r="B23" s="10" t="s">
        <v>2978</v>
      </c>
      <c r="C23" s="8">
        <v>82.7</v>
      </c>
      <c r="D23" s="9" t="s">
        <v>2979</v>
      </c>
      <c r="E23" s="10">
        <v>5.0599999999999996</v>
      </c>
      <c r="F23" s="10" t="s">
        <v>2980</v>
      </c>
      <c r="G23" s="8" t="s">
        <v>368</v>
      </c>
    </row>
    <row r="24" spans="2:7">
      <c r="B24" s="10" t="s">
        <v>2981</v>
      </c>
      <c r="C24" s="8">
        <v>3</v>
      </c>
      <c r="D24" s="9" t="s">
        <v>2982</v>
      </c>
      <c r="E24" s="10">
        <v>5</v>
      </c>
      <c r="F24" s="10" t="s">
        <v>2983</v>
      </c>
      <c r="G24" s="8" t="s">
        <v>368</v>
      </c>
    </row>
    <row r="25" spans="2:7">
      <c r="B25" s="10" t="s">
        <v>2984</v>
      </c>
      <c r="C25" s="8">
        <v>558.86</v>
      </c>
      <c r="D25" s="9" t="s">
        <v>2985</v>
      </c>
      <c r="E25" s="10">
        <v>12.866</v>
      </c>
      <c r="F25" s="10" t="s">
        <v>2986</v>
      </c>
      <c r="G25" s="8">
        <v>2600</v>
      </c>
    </row>
    <row r="26" spans="2:7">
      <c r="B26" s="10" t="s">
        <v>2987</v>
      </c>
      <c r="C26" s="8">
        <v>900.39</v>
      </c>
      <c r="D26" s="9" t="s">
        <v>2988</v>
      </c>
      <c r="E26" s="10">
        <v>6.577</v>
      </c>
      <c r="F26" s="10" t="s">
        <v>2989</v>
      </c>
      <c r="G26" s="8" t="s">
        <v>368</v>
      </c>
    </row>
    <row r="27" spans="2:7">
      <c r="B27" s="10" t="s">
        <v>2990</v>
      </c>
      <c r="C27" s="8">
        <v>3.82</v>
      </c>
      <c r="D27" s="9" t="s">
        <v>2991</v>
      </c>
      <c r="E27" s="10">
        <v>1.57</v>
      </c>
      <c r="F27" s="10" t="s">
        <v>2992</v>
      </c>
      <c r="G27" s="8">
        <v>992.83</v>
      </c>
    </row>
    <row r="28" spans="2:7">
      <c r="B28" s="10" t="s">
        <v>2993</v>
      </c>
      <c r="C28" s="8">
        <v>16</v>
      </c>
      <c r="D28" s="9" t="s">
        <v>2994</v>
      </c>
      <c r="E28" s="10">
        <v>18.635999999999999</v>
      </c>
      <c r="F28" s="10" t="s">
        <v>2995</v>
      </c>
      <c r="G28" s="8">
        <v>200</v>
      </c>
    </row>
    <row r="29" spans="2:7">
      <c r="B29" s="10" t="s">
        <v>2996</v>
      </c>
      <c r="C29" s="8">
        <v>44.16</v>
      </c>
      <c r="D29" s="9" t="s">
        <v>2997</v>
      </c>
      <c r="E29" s="10">
        <v>2.09</v>
      </c>
      <c r="F29" s="10" t="s">
        <v>2998</v>
      </c>
      <c r="G29" s="8" t="s">
        <v>368</v>
      </c>
    </row>
    <row r="30" spans="2:7">
      <c r="B30" s="10" t="s">
        <v>2999</v>
      </c>
      <c r="C30" s="8">
        <v>10</v>
      </c>
      <c r="D30" s="9" t="s">
        <v>3000</v>
      </c>
      <c r="E30" s="10">
        <v>0.78</v>
      </c>
      <c r="F30" s="10" t="s">
        <v>3001</v>
      </c>
      <c r="G30" s="8">
        <v>10000</v>
      </c>
    </row>
    <row r="31" spans="2:7">
      <c r="B31" s="10" t="s">
        <v>3002</v>
      </c>
      <c r="C31" s="8">
        <v>50</v>
      </c>
      <c r="D31" s="9" t="s">
        <v>3003</v>
      </c>
      <c r="E31" s="10">
        <v>15.823</v>
      </c>
      <c r="F31" s="10" t="s">
        <v>3004</v>
      </c>
      <c r="G31" s="8" t="s">
        <v>368</v>
      </c>
    </row>
    <row r="32" spans="2:7">
      <c r="B32" s="10" t="s">
        <v>3005</v>
      </c>
      <c r="C32" s="8">
        <v>49</v>
      </c>
      <c r="D32" s="9" t="s">
        <v>3006</v>
      </c>
      <c r="E32" s="10">
        <v>4987.1499999999996</v>
      </c>
      <c r="F32" s="10" t="s">
        <v>3007</v>
      </c>
      <c r="G32" s="8">
        <v>135.80000000000001</v>
      </c>
    </row>
    <row r="33" spans="2:7">
      <c r="B33" s="10" t="s">
        <v>3008</v>
      </c>
      <c r="C33" s="8">
        <v>415.79</v>
      </c>
      <c r="D33" s="9" t="s">
        <v>3009</v>
      </c>
      <c r="E33" s="10">
        <v>10.73</v>
      </c>
      <c r="F33" s="10" t="s">
        <v>3010</v>
      </c>
      <c r="G33" s="8">
        <v>500</v>
      </c>
    </row>
    <row r="34" spans="2:7">
      <c r="B34" s="10" t="s">
        <v>3011</v>
      </c>
      <c r="C34" s="8">
        <v>4613.8</v>
      </c>
      <c r="D34" s="9" t="s">
        <v>3012</v>
      </c>
      <c r="E34" s="10">
        <v>18</v>
      </c>
      <c r="F34" s="10" t="s">
        <v>3013</v>
      </c>
      <c r="G34" s="8">
        <v>46.26</v>
      </c>
    </row>
    <row r="35" spans="2:7">
      <c r="B35" s="10" t="s">
        <v>3014</v>
      </c>
      <c r="C35" s="8">
        <v>100</v>
      </c>
      <c r="D35" s="9" t="s">
        <v>3015</v>
      </c>
      <c r="E35" s="10">
        <v>19.989999999999998</v>
      </c>
      <c r="F35" s="10" t="s">
        <v>3016</v>
      </c>
      <c r="G35" s="8">
        <v>285.68</v>
      </c>
    </row>
    <row r="36" spans="2:7">
      <c r="B36" s="10" t="s">
        <v>3017</v>
      </c>
      <c r="C36" s="8">
        <v>88</v>
      </c>
      <c r="D36" s="9" t="s">
        <v>3018</v>
      </c>
      <c r="E36" s="10">
        <v>15</v>
      </c>
      <c r="F36" s="10" t="s">
        <v>3019</v>
      </c>
      <c r="G36" s="8">
        <v>6.7</v>
      </c>
    </row>
    <row r="37" spans="2:7">
      <c r="B37" s="10" t="s">
        <v>3020</v>
      </c>
      <c r="C37" s="8">
        <v>26</v>
      </c>
      <c r="D37" s="9" t="s">
        <v>3021</v>
      </c>
      <c r="E37" s="10">
        <v>130.47</v>
      </c>
      <c r="F37" s="10" t="s">
        <v>3022</v>
      </c>
      <c r="G37" s="8">
        <v>390</v>
      </c>
    </row>
    <row r="38" spans="2:7">
      <c r="B38" s="10" t="s">
        <v>3023</v>
      </c>
      <c r="C38" s="8">
        <v>10</v>
      </c>
      <c r="D38" s="9" t="s">
        <v>3024</v>
      </c>
      <c r="E38" s="10">
        <v>10.57</v>
      </c>
      <c r="F38" s="10" t="s">
        <v>3025</v>
      </c>
      <c r="G38" s="8" t="s">
        <v>368</v>
      </c>
    </row>
    <row r="39" spans="2:7">
      <c r="B39" s="10" t="s">
        <v>3026</v>
      </c>
      <c r="C39" s="8">
        <v>102.96</v>
      </c>
      <c r="D39" s="9" t="s">
        <v>3027</v>
      </c>
      <c r="E39" s="10">
        <v>6.6125999999999996</v>
      </c>
      <c r="F39" s="10" t="s">
        <v>3028</v>
      </c>
      <c r="G39" s="8" t="s">
        <v>368</v>
      </c>
    </row>
    <row r="40" spans="2:7">
      <c r="B40" s="10" t="s">
        <v>3029</v>
      </c>
      <c r="C40" s="8">
        <v>1156.33</v>
      </c>
      <c r="D40" s="20" t="s">
        <v>3030</v>
      </c>
      <c r="E40" s="16">
        <f>SUM(E4:E39)</f>
        <v>35216.424600000013</v>
      </c>
      <c r="F40" s="10" t="s">
        <v>3031</v>
      </c>
      <c r="G40" s="8">
        <v>12</v>
      </c>
    </row>
    <row r="41" spans="2:7">
      <c r="B41" s="10" t="s">
        <v>3032</v>
      </c>
      <c r="C41" s="8">
        <v>45.9</v>
      </c>
      <c r="D41" s="16" t="s">
        <v>3033</v>
      </c>
      <c r="E41" s="21">
        <v>0.37</v>
      </c>
      <c r="F41" s="10" t="s">
        <v>3034</v>
      </c>
      <c r="G41" s="8">
        <v>2</v>
      </c>
    </row>
    <row r="42" spans="2:7">
      <c r="B42" s="10" t="s">
        <v>3035</v>
      </c>
      <c r="C42" s="8">
        <v>7</v>
      </c>
      <c r="D42" s="1" t="s">
        <v>3036</v>
      </c>
      <c r="E42" s="1"/>
      <c r="F42" s="10" t="s">
        <v>3037</v>
      </c>
      <c r="G42" s="8" t="s">
        <v>368</v>
      </c>
    </row>
    <row r="43" spans="2:7">
      <c r="B43" s="10" t="s">
        <v>3038</v>
      </c>
      <c r="C43" s="8">
        <v>226.47</v>
      </c>
      <c r="D43" s="1"/>
      <c r="E43" s="1"/>
      <c r="F43" s="10" t="s">
        <v>3039</v>
      </c>
      <c r="G43" s="8">
        <v>7.7</v>
      </c>
    </row>
    <row r="44" spans="2:7">
      <c r="B44" s="10" t="s">
        <v>3040</v>
      </c>
      <c r="C44" s="8">
        <v>14.04</v>
      </c>
      <c r="F44" s="10" t="s">
        <v>3041</v>
      </c>
      <c r="G44" s="8" t="s">
        <v>368</v>
      </c>
    </row>
    <row r="45" spans="2:7">
      <c r="B45" s="10" t="s">
        <v>3042</v>
      </c>
      <c r="C45" s="8">
        <v>33.58</v>
      </c>
      <c r="F45" s="10" t="s">
        <v>3043</v>
      </c>
      <c r="G45" s="8" t="s">
        <v>368</v>
      </c>
    </row>
    <row r="46" spans="2:7">
      <c r="B46" s="10" t="s">
        <v>3044</v>
      </c>
      <c r="C46" s="8">
        <v>59.46</v>
      </c>
      <c r="F46" s="10" t="s">
        <v>3045</v>
      </c>
      <c r="G46" s="8" t="s">
        <v>368</v>
      </c>
    </row>
    <row r="47" spans="2:7">
      <c r="B47" s="10" t="s">
        <v>3046</v>
      </c>
      <c r="C47" s="8">
        <v>6328.6</v>
      </c>
      <c r="F47" s="10" t="s">
        <v>3047</v>
      </c>
      <c r="G47" s="8" t="s">
        <v>368</v>
      </c>
    </row>
    <row r="48" spans="2:7">
      <c r="B48" s="10" t="s">
        <v>3048</v>
      </c>
      <c r="C48" s="8">
        <v>1.89</v>
      </c>
      <c r="F48" s="10" t="s">
        <v>3049</v>
      </c>
      <c r="G48" s="8">
        <v>5296.16</v>
      </c>
    </row>
    <row r="49" spans="2:7">
      <c r="B49" s="10" t="s">
        <v>3050</v>
      </c>
      <c r="C49" s="8">
        <v>2.75</v>
      </c>
      <c r="F49" s="10" t="s">
        <v>3051</v>
      </c>
      <c r="G49" s="8">
        <v>127.94</v>
      </c>
    </row>
    <row r="50" spans="2:7">
      <c r="B50" s="10" t="s">
        <v>3052</v>
      </c>
      <c r="C50" s="8">
        <v>126.5</v>
      </c>
      <c r="F50" s="10" t="s">
        <v>3053</v>
      </c>
      <c r="G50" s="8">
        <v>234.42</v>
      </c>
    </row>
    <row r="51" spans="2:7">
      <c r="B51" s="10" t="s">
        <v>3054</v>
      </c>
      <c r="C51" s="8">
        <v>60</v>
      </c>
      <c r="F51" s="10" t="s">
        <v>3055</v>
      </c>
      <c r="G51" s="8">
        <v>17.260000000000002</v>
      </c>
    </row>
    <row r="52" spans="2:7">
      <c r="B52" s="10" t="s">
        <v>3056</v>
      </c>
      <c r="C52" s="8">
        <v>24.44</v>
      </c>
      <c r="F52" s="10" t="s">
        <v>3057</v>
      </c>
      <c r="G52" s="8">
        <v>121.12</v>
      </c>
    </row>
    <row r="53" spans="2:7">
      <c r="B53" s="10" t="s">
        <v>3058</v>
      </c>
      <c r="C53" s="8">
        <v>32.08</v>
      </c>
      <c r="F53" s="10" t="s">
        <v>3059</v>
      </c>
      <c r="G53" s="8">
        <v>19.507999999999999</v>
      </c>
    </row>
    <row r="54" spans="2:7">
      <c r="B54" s="10" t="s">
        <v>3060</v>
      </c>
      <c r="C54" s="8">
        <v>78.599999999999994</v>
      </c>
      <c r="F54" s="10" t="s">
        <v>3061</v>
      </c>
      <c r="G54" s="8">
        <v>16</v>
      </c>
    </row>
    <row r="55" spans="2:7">
      <c r="B55" s="10" t="s">
        <v>3062</v>
      </c>
      <c r="C55" s="8">
        <v>23.12</v>
      </c>
      <c r="F55" s="10" t="s">
        <v>3063</v>
      </c>
      <c r="G55" s="8">
        <v>1.18</v>
      </c>
    </row>
    <row r="56" spans="2:7">
      <c r="B56" s="10" t="s">
        <v>3064</v>
      </c>
      <c r="C56" s="8">
        <v>332.92</v>
      </c>
      <c r="F56" s="10" t="s">
        <v>3065</v>
      </c>
      <c r="G56" s="8">
        <v>65</v>
      </c>
    </row>
    <row r="57" spans="2:7">
      <c r="B57" s="10" t="s">
        <v>3066</v>
      </c>
      <c r="C57" s="8">
        <v>5.99</v>
      </c>
      <c r="F57" s="10" t="s">
        <v>3067</v>
      </c>
      <c r="G57" s="8">
        <v>90.9</v>
      </c>
    </row>
    <row r="58" spans="2:7">
      <c r="B58" s="10" t="s">
        <v>3068</v>
      </c>
      <c r="C58" s="8">
        <v>4.95</v>
      </c>
      <c r="F58" s="10" t="s">
        <v>3069</v>
      </c>
      <c r="G58" s="8">
        <v>5</v>
      </c>
    </row>
    <row r="59" spans="2:7">
      <c r="B59" s="10" t="s">
        <v>3070</v>
      </c>
      <c r="C59" s="8">
        <v>100</v>
      </c>
      <c r="F59" s="10" t="s">
        <v>3071</v>
      </c>
      <c r="G59" s="8">
        <v>113</v>
      </c>
    </row>
    <row r="60" spans="2:7">
      <c r="B60" s="10" t="s">
        <v>3072</v>
      </c>
      <c r="C60" s="8">
        <v>316.05</v>
      </c>
      <c r="F60" s="10" t="s">
        <v>3073</v>
      </c>
      <c r="G60" s="8">
        <v>39.729999999999997</v>
      </c>
    </row>
    <row r="61" spans="2:7">
      <c r="B61" s="10" t="s">
        <v>3074</v>
      </c>
      <c r="C61" s="8">
        <v>45</v>
      </c>
      <c r="F61" s="10" t="s">
        <v>3075</v>
      </c>
      <c r="G61" s="8">
        <v>18</v>
      </c>
    </row>
    <row r="62" spans="2:7">
      <c r="B62" s="10" t="s">
        <v>3076</v>
      </c>
      <c r="C62" s="8">
        <v>36.299999999999997</v>
      </c>
      <c r="F62" s="10" t="s">
        <v>3077</v>
      </c>
      <c r="G62" s="8">
        <v>509.64</v>
      </c>
    </row>
    <row r="63" spans="2:7">
      <c r="B63" s="10" t="s">
        <v>3078</v>
      </c>
      <c r="C63" s="8">
        <v>31.86</v>
      </c>
      <c r="F63" s="10" t="s">
        <v>3079</v>
      </c>
      <c r="G63" s="8">
        <v>14.712</v>
      </c>
    </row>
    <row r="64" spans="2:7">
      <c r="B64" s="10" t="s">
        <v>3080</v>
      </c>
      <c r="C64" s="8">
        <v>15.7</v>
      </c>
      <c r="F64" s="10" t="s">
        <v>3081</v>
      </c>
      <c r="G64" s="8" t="s">
        <v>368</v>
      </c>
    </row>
    <row r="65" spans="2:7">
      <c r="B65" s="10" t="s">
        <v>3082</v>
      </c>
      <c r="C65" s="8">
        <v>4018.77</v>
      </c>
      <c r="F65" s="10" t="s">
        <v>3083</v>
      </c>
      <c r="G65" s="8">
        <v>36.615000000000002</v>
      </c>
    </row>
    <row r="66" spans="2:7">
      <c r="B66" s="10" t="s">
        <v>3084</v>
      </c>
      <c r="C66" s="8">
        <v>55.73</v>
      </c>
      <c r="F66" s="10" t="s">
        <v>3085</v>
      </c>
      <c r="G66" s="8">
        <v>11.52</v>
      </c>
    </row>
    <row r="67" spans="2:7">
      <c r="B67" s="10" t="s">
        <v>3086</v>
      </c>
      <c r="C67" s="8">
        <v>3.64</v>
      </c>
      <c r="F67" s="10" t="s">
        <v>3087</v>
      </c>
      <c r="G67" s="8">
        <v>70</v>
      </c>
    </row>
    <row r="68" spans="2:7">
      <c r="B68" s="10" t="s">
        <v>3088</v>
      </c>
      <c r="C68" s="8">
        <v>54.34</v>
      </c>
      <c r="F68" s="10" t="s">
        <v>3089</v>
      </c>
      <c r="G68" s="8">
        <v>1226.32</v>
      </c>
    </row>
    <row r="69" spans="2:7">
      <c r="B69" s="10" t="s">
        <v>3090</v>
      </c>
      <c r="C69" s="8">
        <v>79.05</v>
      </c>
      <c r="F69" s="10" t="s">
        <v>3091</v>
      </c>
      <c r="G69" s="8">
        <v>3.0093999999999999</v>
      </c>
    </row>
    <row r="70" spans="2:7">
      <c r="B70" s="10" t="s">
        <v>3092</v>
      </c>
      <c r="C70" s="8">
        <v>212.07</v>
      </c>
      <c r="F70" s="10" t="s">
        <v>3093</v>
      </c>
      <c r="G70" s="8">
        <v>20.440000000000001</v>
      </c>
    </row>
    <row r="71" spans="2:7">
      <c r="B71" s="10" t="s">
        <v>3094</v>
      </c>
      <c r="C71" s="8">
        <v>66.7</v>
      </c>
      <c r="F71" s="10" t="s">
        <v>3095</v>
      </c>
      <c r="G71" s="8">
        <v>221.07</v>
      </c>
    </row>
    <row r="72" spans="2:7">
      <c r="B72" s="10" t="s">
        <v>3096</v>
      </c>
      <c r="C72" s="8">
        <v>155.15</v>
      </c>
      <c r="F72" s="10" t="s">
        <v>3097</v>
      </c>
      <c r="G72" s="8">
        <v>706.76</v>
      </c>
    </row>
    <row r="73" spans="2:7">
      <c r="B73" s="10" t="s">
        <v>3098</v>
      </c>
      <c r="C73" s="8">
        <v>201.54</v>
      </c>
      <c r="F73" s="10" t="s">
        <v>3099</v>
      </c>
      <c r="G73" s="8">
        <v>920.54</v>
      </c>
    </row>
    <row r="74" spans="2:7">
      <c r="B74" s="10" t="s">
        <v>3100</v>
      </c>
      <c r="C74" s="8">
        <v>13.46</v>
      </c>
      <c r="F74" s="10" t="s">
        <v>3101</v>
      </c>
      <c r="G74" s="8">
        <v>1544</v>
      </c>
    </row>
    <row r="75" spans="2:7">
      <c r="B75" s="10" t="s">
        <v>3102</v>
      </c>
      <c r="C75" s="8">
        <v>85.2</v>
      </c>
      <c r="F75" s="10" t="s">
        <v>3103</v>
      </c>
      <c r="G75" s="8">
        <v>216.47</v>
      </c>
    </row>
    <row r="76" spans="2:7">
      <c r="B76" s="10" t="s">
        <v>3104</v>
      </c>
      <c r="C76" s="8">
        <v>74.05</v>
      </c>
      <c r="F76" s="10" t="s">
        <v>3105</v>
      </c>
      <c r="G76" s="8">
        <v>546</v>
      </c>
    </row>
    <row r="77" spans="2:7">
      <c r="B77" s="10" t="s">
        <v>3106</v>
      </c>
      <c r="C77" s="8">
        <v>5.2</v>
      </c>
      <c r="F77" s="10" t="s">
        <v>3107</v>
      </c>
      <c r="G77" s="8">
        <v>41.128999999999998</v>
      </c>
    </row>
    <row r="78" spans="2:7">
      <c r="B78" s="10" t="s">
        <v>3108</v>
      </c>
      <c r="C78" s="8">
        <v>98.83</v>
      </c>
      <c r="F78" s="10" t="s">
        <v>3109</v>
      </c>
      <c r="G78" s="8">
        <v>3.43</v>
      </c>
    </row>
    <row r="79" spans="2:7">
      <c r="B79" s="10" t="s">
        <v>3110</v>
      </c>
      <c r="C79" s="8">
        <v>285.23</v>
      </c>
      <c r="F79" s="10" t="s">
        <v>3111</v>
      </c>
      <c r="G79" s="8">
        <v>16.100000000000001</v>
      </c>
    </row>
    <row r="80" spans="2:7">
      <c r="B80" s="10" t="s">
        <v>3112</v>
      </c>
      <c r="C80" s="8">
        <v>1.79</v>
      </c>
      <c r="F80" s="10" t="s">
        <v>3113</v>
      </c>
      <c r="G80" s="8">
        <v>6.27</v>
      </c>
    </row>
    <row r="81" spans="2:7">
      <c r="B81" s="10" t="s">
        <v>3114</v>
      </c>
      <c r="C81" s="8">
        <v>6.14</v>
      </c>
      <c r="F81" s="10" t="s">
        <v>3115</v>
      </c>
      <c r="G81" s="8">
        <v>2.5</v>
      </c>
    </row>
    <row r="82" spans="2:7">
      <c r="B82" s="10" t="s">
        <v>3116</v>
      </c>
      <c r="C82" s="8">
        <v>67.33</v>
      </c>
      <c r="F82" s="10" t="s">
        <v>3117</v>
      </c>
      <c r="G82" s="8">
        <v>149.30000000000001</v>
      </c>
    </row>
    <row r="83" spans="2:7">
      <c r="B83" s="10" t="s">
        <v>3118</v>
      </c>
      <c r="C83" s="8">
        <v>9.0500000000000007</v>
      </c>
      <c r="F83" s="10" t="s">
        <v>3119</v>
      </c>
      <c r="G83" s="8">
        <v>266.8</v>
      </c>
    </row>
    <row r="84" spans="2:7">
      <c r="B84" s="10" t="s">
        <v>3120</v>
      </c>
      <c r="C84" s="8">
        <v>36.06</v>
      </c>
      <c r="F84" s="10" t="s">
        <v>3121</v>
      </c>
      <c r="G84" s="8" t="s">
        <v>368</v>
      </c>
    </row>
    <row r="85" spans="2:7">
      <c r="B85" s="10" t="s">
        <v>3122</v>
      </c>
      <c r="C85" s="8">
        <v>28.64</v>
      </c>
      <c r="F85" s="10" t="s">
        <v>3123</v>
      </c>
      <c r="G85" s="8">
        <v>3204</v>
      </c>
    </row>
    <row r="86" spans="2:7">
      <c r="B86" s="10" t="s">
        <v>3124</v>
      </c>
      <c r="C86" s="8">
        <v>22.04</v>
      </c>
      <c r="F86" s="10" t="s">
        <v>3125</v>
      </c>
      <c r="G86" s="8" t="s">
        <v>368</v>
      </c>
    </row>
    <row r="87" spans="2:7">
      <c r="B87" s="10" t="s">
        <v>3126</v>
      </c>
      <c r="C87" s="8">
        <v>13.5</v>
      </c>
      <c r="F87" s="10" t="s">
        <v>3127</v>
      </c>
      <c r="G87" s="8">
        <v>140.69999999999999</v>
      </c>
    </row>
    <row r="88" spans="2:7">
      <c r="B88" s="10" t="s">
        <v>3128</v>
      </c>
      <c r="C88" s="8">
        <v>45.5</v>
      </c>
      <c r="F88" s="10" t="s">
        <v>3129</v>
      </c>
      <c r="G88" s="8">
        <v>0.98199999999999998</v>
      </c>
    </row>
    <row r="89" spans="2:7">
      <c r="B89" s="10" t="s">
        <v>3130</v>
      </c>
      <c r="C89" s="8">
        <v>4.5999999999999996</v>
      </c>
      <c r="F89" s="10" t="s">
        <v>3131</v>
      </c>
      <c r="G89" s="8">
        <v>5972</v>
      </c>
    </row>
    <row r="90" spans="2:7">
      <c r="B90" s="10" t="s">
        <v>3132</v>
      </c>
      <c r="C90" s="8">
        <v>43.5</v>
      </c>
      <c r="F90" s="10" t="s">
        <v>3133</v>
      </c>
      <c r="G90" s="8">
        <v>111.47</v>
      </c>
    </row>
    <row r="91" spans="2:7">
      <c r="B91" s="19" t="s">
        <v>3134</v>
      </c>
      <c r="C91" s="12">
        <f>SUM(C4:C90)</f>
        <v>377725.54</v>
      </c>
      <c r="F91" s="10" t="s">
        <v>3135</v>
      </c>
      <c r="G91" s="8">
        <v>6707</v>
      </c>
    </row>
    <row r="92" spans="2:7">
      <c r="B92" s="19" t="s">
        <v>3033</v>
      </c>
      <c r="C92" s="7">
        <v>3.96</v>
      </c>
      <c r="F92" s="10" t="s">
        <v>3136</v>
      </c>
      <c r="G92" s="8">
        <v>1246</v>
      </c>
    </row>
    <row r="93" spans="2:7">
      <c r="B93" s="16" t="s">
        <v>3137</v>
      </c>
      <c r="C93" s="16">
        <v>205753.54</v>
      </c>
      <c r="F93" s="10" t="s">
        <v>3138</v>
      </c>
      <c r="G93" s="8">
        <v>1617</v>
      </c>
    </row>
    <row r="94" spans="2:7">
      <c r="B94" s="16" t="s">
        <v>3033</v>
      </c>
      <c r="C94" s="18">
        <f>(C93*100)/C97</f>
        <v>2.1579671931701383</v>
      </c>
      <c r="F94" s="10" t="s">
        <v>3139</v>
      </c>
      <c r="G94" s="8">
        <v>4610</v>
      </c>
    </row>
    <row r="95" spans="2:7">
      <c r="F95" s="10" t="s">
        <v>3140</v>
      </c>
      <c r="G95" s="8">
        <v>25</v>
      </c>
    </row>
    <row r="96" spans="2:7">
      <c r="F96" s="10" t="s">
        <v>3141</v>
      </c>
      <c r="G96" s="8">
        <v>2.9</v>
      </c>
    </row>
    <row r="97" spans="2:7">
      <c r="B97" s="4" t="s">
        <v>3142</v>
      </c>
      <c r="C97" s="4">
        <v>9534600</v>
      </c>
      <c r="F97" s="10" t="s">
        <v>3143</v>
      </c>
      <c r="G97" s="8">
        <v>18</v>
      </c>
    </row>
    <row r="98" spans="2:7">
      <c r="F98" s="10" t="s">
        <v>3144</v>
      </c>
      <c r="G98" s="8">
        <v>54</v>
      </c>
    </row>
    <row r="99" spans="2:7">
      <c r="F99" s="10" t="s">
        <v>3145</v>
      </c>
      <c r="G99" s="8" t="s">
        <v>368</v>
      </c>
    </row>
    <row r="100" spans="2:7">
      <c r="F100" s="10" t="s">
        <v>3146</v>
      </c>
      <c r="G100" s="8">
        <v>83.6</v>
      </c>
    </row>
    <row r="101" spans="2:7" ht="27.75">
      <c r="F101" s="11" t="s">
        <v>3147</v>
      </c>
      <c r="G101" s="8">
        <v>336</v>
      </c>
    </row>
    <row r="102" spans="2:7">
      <c r="F102" s="10" t="s">
        <v>3148</v>
      </c>
      <c r="G102" s="8">
        <v>3213.7</v>
      </c>
    </row>
    <row r="103" spans="2:7">
      <c r="F103" s="10" t="s">
        <v>3149</v>
      </c>
      <c r="G103" s="8" t="s">
        <v>368</v>
      </c>
    </row>
    <row r="104" spans="2:7">
      <c r="F104" s="10" t="s">
        <v>3150</v>
      </c>
      <c r="G104" s="8" t="s">
        <v>368</v>
      </c>
    </row>
    <row r="105" spans="2:7">
      <c r="F105" s="14" t="s">
        <v>3134</v>
      </c>
      <c r="G105" s="12">
        <f>SUM(G4:G104)</f>
        <v>165560.14540000001</v>
      </c>
    </row>
    <row r="106" spans="2:7">
      <c r="F106" s="14" t="s">
        <v>3033</v>
      </c>
      <c r="G106" s="15">
        <v>1.74</v>
      </c>
    </row>
    <row r="107" spans="2:7">
      <c r="F107" s="16" t="s">
        <v>3137</v>
      </c>
      <c r="G107" s="17">
        <v>165224.15</v>
      </c>
    </row>
    <row r="108" spans="2:7">
      <c r="F108" s="16" t="s">
        <v>3033</v>
      </c>
      <c r="G108" s="18">
        <f>(G107*100)/C97</f>
        <v>1.7328902103916264</v>
      </c>
    </row>
  </sheetData>
  <mergeCells count="1">
    <mergeCell ref="B2:G2"/>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D82"/>
  <sheetViews>
    <sheetView topLeftCell="A24" zoomScale="90" zoomScaleNormal="90" workbookViewId="0">
      <selection activeCell="H39" sqref="H39"/>
    </sheetView>
  </sheetViews>
  <sheetFormatPr defaultRowHeight="15"/>
  <cols>
    <col min="2" max="2" width="18.42578125" customWidth="1"/>
    <col min="3" max="3" width="21.85546875" customWidth="1"/>
    <col min="4" max="4" width="18.85546875" customWidth="1"/>
  </cols>
  <sheetData>
    <row r="2" spans="2:4" ht="20.25" customHeight="1">
      <c r="B2" s="259" t="s">
        <v>3151</v>
      </c>
      <c r="C2" s="260"/>
      <c r="D2" s="261"/>
    </row>
    <row r="3" spans="2:4" ht="21.75" customHeight="1">
      <c r="B3" s="60" t="s">
        <v>3152</v>
      </c>
      <c r="C3" s="61" t="s">
        <v>3153</v>
      </c>
      <c r="D3" s="62" t="s">
        <v>3154</v>
      </c>
    </row>
    <row r="4" spans="2:4">
      <c r="B4" s="63" t="s">
        <v>3155</v>
      </c>
      <c r="C4" s="64">
        <v>21</v>
      </c>
      <c r="D4" s="65">
        <v>185173</v>
      </c>
    </row>
    <row r="5" spans="2:4">
      <c r="B5" s="66" t="s">
        <v>526</v>
      </c>
      <c r="C5" s="64">
        <v>38</v>
      </c>
      <c r="D5" s="65">
        <v>505792</v>
      </c>
    </row>
    <row r="6" spans="2:4">
      <c r="B6" s="66" t="s">
        <v>3156</v>
      </c>
      <c r="C6" s="64">
        <v>17</v>
      </c>
      <c r="D6" s="65">
        <v>173462</v>
      </c>
    </row>
    <row r="7" spans="2:4">
      <c r="B7" s="66" t="s">
        <v>2265</v>
      </c>
      <c r="C7" s="64">
        <v>27</v>
      </c>
      <c r="D7" s="65">
        <v>345980</v>
      </c>
    </row>
    <row r="8" spans="2:4">
      <c r="B8" s="66" t="s">
        <v>3157</v>
      </c>
      <c r="C8" s="64">
        <v>15</v>
      </c>
      <c r="D8" s="65">
        <v>159245</v>
      </c>
    </row>
    <row r="9" spans="2:4">
      <c r="B9" s="67" t="s">
        <v>3158</v>
      </c>
      <c r="C9" s="68">
        <f>SUM(C4:C8)</f>
        <v>118</v>
      </c>
      <c r="D9" s="69">
        <f>SUM(D4:D8)</f>
        <v>1369652</v>
      </c>
    </row>
    <row r="10" spans="2:4">
      <c r="B10" s="70"/>
      <c r="C10" s="70"/>
      <c r="D10" s="71"/>
    </row>
    <row r="11" spans="2:4" ht="22.5" customHeight="1">
      <c r="B11" s="70"/>
      <c r="C11" s="70"/>
      <c r="D11" s="71"/>
    </row>
    <row r="12" spans="2:4" ht="91.5" customHeight="1">
      <c r="B12" s="262" t="s">
        <v>3159</v>
      </c>
      <c r="C12" s="263"/>
      <c r="D12" s="264"/>
    </row>
    <row r="13" spans="2:4" ht="25.5">
      <c r="B13" s="72" t="s">
        <v>3152</v>
      </c>
      <c r="C13" s="73" t="s">
        <v>3153</v>
      </c>
      <c r="D13" s="74" t="s">
        <v>3154</v>
      </c>
    </row>
    <row r="14" spans="2:4">
      <c r="B14" s="75" t="s">
        <v>3160</v>
      </c>
      <c r="C14" s="76">
        <v>12</v>
      </c>
      <c r="D14" s="77">
        <v>89381</v>
      </c>
    </row>
    <row r="15" spans="2:4">
      <c r="B15" s="78" t="s">
        <v>3161</v>
      </c>
      <c r="C15" s="76">
        <v>18</v>
      </c>
      <c r="D15" s="77">
        <v>293578</v>
      </c>
    </row>
    <row r="16" spans="2:4">
      <c r="B16" s="79" t="s">
        <v>3162</v>
      </c>
      <c r="C16" s="80">
        <f>SUM(C14:C15)</f>
        <v>30</v>
      </c>
      <c r="D16" s="81">
        <f>SUM(D14:D15)</f>
        <v>382959</v>
      </c>
    </row>
    <row r="17" spans="2:4">
      <c r="B17" s="70"/>
      <c r="C17" s="70"/>
      <c r="D17" s="71"/>
    </row>
    <row r="18" spans="2:4">
      <c r="B18" s="265" t="s">
        <v>3163</v>
      </c>
      <c r="C18" s="266"/>
      <c r="D18" s="267"/>
    </row>
    <row r="19" spans="2:4" ht="39" customHeight="1">
      <c r="B19" s="82" t="s">
        <v>3152</v>
      </c>
      <c r="C19" s="82" t="s">
        <v>3153</v>
      </c>
      <c r="D19" s="83" t="s">
        <v>3154</v>
      </c>
    </row>
    <row r="20" spans="2:4" ht="28.5" customHeight="1">
      <c r="B20" s="84" t="s">
        <v>3164</v>
      </c>
      <c r="C20" s="85">
        <v>12</v>
      </c>
      <c r="D20" s="86">
        <v>250945</v>
      </c>
    </row>
    <row r="21" spans="2:4">
      <c r="B21" s="84"/>
      <c r="C21" s="85"/>
      <c r="D21" s="86"/>
    </row>
    <row r="22" spans="2:4">
      <c r="B22" s="85" t="s">
        <v>1325</v>
      </c>
      <c r="C22" s="85">
        <v>3</v>
      </c>
      <c r="D22" s="86">
        <v>135034</v>
      </c>
    </row>
    <row r="23" spans="2:4">
      <c r="B23" s="85" t="s">
        <v>3165</v>
      </c>
      <c r="C23" s="85">
        <v>11</v>
      </c>
      <c r="D23" s="87">
        <v>1060023</v>
      </c>
    </row>
    <row r="24" spans="2:4" ht="22.5" customHeight="1">
      <c r="B24" s="88" t="s">
        <v>3166</v>
      </c>
      <c r="C24" s="88">
        <f>SUM(C20:C23)</f>
        <v>26</v>
      </c>
      <c r="D24" s="89">
        <f>SUM(D20:D23)</f>
        <v>1446002</v>
      </c>
    </row>
    <row r="25" spans="2:4" ht="20.25" customHeight="1">
      <c r="B25" s="70"/>
      <c r="C25" s="70"/>
      <c r="D25" s="71"/>
    </row>
    <row r="26" spans="2:4">
      <c r="B26" s="268" t="s">
        <v>3167</v>
      </c>
      <c r="C26" s="269"/>
      <c r="D26" s="270"/>
    </row>
    <row r="27" spans="2:4" ht="25.5">
      <c r="B27" s="90" t="s">
        <v>3152</v>
      </c>
      <c r="C27" s="91" t="s">
        <v>3153</v>
      </c>
      <c r="D27" s="92" t="s">
        <v>3154</v>
      </c>
    </row>
    <row r="28" spans="2:4">
      <c r="B28" s="93" t="s">
        <v>2600</v>
      </c>
      <c r="C28" s="94">
        <v>20</v>
      </c>
      <c r="D28" s="95">
        <v>239160</v>
      </c>
    </row>
    <row r="29" spans="2:4">
      <c r="B29" s="96" t="s">
        <v>391</v>
      </c>
      <c r="C29" s="94">
        <v>15</v>
      </c>
      <c r="D29" s="95">
        <v>824626</v>
      </c>
    </row>
    <row r="30" spans="2:4">
      <c r="B30" s="96" t="s">
        <v>916</v>
      </c>
      <c r="C30" s="94">
        <v>12</v>
      </c>
      <c r="D30" s="95">
        <v>848040</v>
      </c>
    </row>
    <row r="31" spans="2:4">
      <c r="B31" s="96" t="s">
        <v>3168</v>
      </c>
      <c r="C31" s="94">
        <v>7</v>
      </c>
      <c r="D31" s="95">
        <v>62579</v>
      </c>
    </row>
    <row r="32" spans="2:4">
      <c r="B32" s="97" t="s">
        <v>3169</v>
      </c>
      <c r="C32" s="98">
        <f>SUM(C28:C31)</f>
        <v>54</v>
      </c>
      <c r="D32" s="99">
        <f>SUM(D28:D31)</f>
        <v>1974405</v>
      </c>
    </row>
    <row r="33" spans="2:4">
      <c r="B33" s="70"/>
      <c r="C33" s="70"/>
      <c r="D33" s="71"/>
    </row>
    <row r="34" spans="2:4">
      <c r="B34" s="271" t="s">
        <v>3170</v>
      </c>
      <c r="C34" s="272"/>
      <c r="D34" s="272"/>
    </row>
    <row r="35" spans="2:4" ht="25.5">
      <c r="B35" s="100" t="s">
        <v>3152</v>
      </c>
      <c r="C35" s="100" t="s">
        <v>3153</v>
      </c>
      <c r="D35" s="101" t="s">
        <v>3154</v>
      </c>
    </row>
    <row r="36" spans="2:4">
      <c r="B36" s="102" t="s">
        <v>2810</v>
      </c>
      <c r="C36" s="103">
        <v>7</v>
      </c>
      <c r="D36" s="104">
        <v>122729</v>
      </c>
    </row>
    <row r="37" spans="2:4">
      <c r="B37" s="103" t="s">
        <v>3171</v>
      </c>
      <c r="C37" s="103">
        <v>8</v>
      </c>
      <c r="D37" s="104">
        <v>1171356</v>
      </c>
    </row>
    <row r="38" spans="2:4">
      <c r="B38" s="103" t="s">
        <v>3172</v>
      </c>
      <c r="C38" s="103">
        <v>5</v>
      </c>
      <c r="D38" s="104">
        <v>27042</v>
      </c>
    </row>
    <row r="39" spans="2:4">
      <c r="B39" s="105" t="s">
        <v>3166</v>
      </c>
      <c r="C39" s="105">
        <f>SUM(C36:C38)</f>
        <v>20</v>
      </c>
      <c r="D39" s="106">
        <f>SUM(D36:D38)</f>
        <v>1321127</v>
      </c>
    </row>
    <row r="40" spans="2:4" ht="22.5" customHeight="1"/>
    <row r="41" spans="2:4">
      <c r="B41" s="256" t="s">
        <v>3173</v>
      </c>
      <c r="C41" s="257"/>
      <c r="D41" s="258"/>
    </row>
    <row r="42" spans="2:4" ht="25.5">
      <c r="B42" s="107" t="s">
        <v>3152</v>
      </c>
      <c r="C42" s="107" t="s">
        <v>3153</v>
      </c>
      <c r="D42" s="108" t="s">
        <v>3154</v>
      </c>
    </row>
    <row r="43" spans="2:4">
      <c r="B43" s="109" t="s">
        <v>3174</v>
      </c>
      <c r="C43" s="110">
        <v>20</v>
      </c>
      <c r="D43" s="111">
        <v>444950</v>
      </c>
    </row>
    <row r="44" spans="2:4">
      <c r="B44" s="110" t="s">
        <v>3175</v>
      </c>
      <c r="C44" s="110">
        <v>11</v>
      </c>
      <c r="D44" s="111">
        <v>423084</v>
      </c>
    </row>
    <row r="45" spans="2:4">
      <c r="B45" s="110" t="s">
        <v>260</v>
      </c>
      <c r="C45" s="110">
        <v>15</v>
      </c>
      <c r="D45" s="111">
        <v>222182</v>
      </c>
    </row>
    <row r="46" spans="2:4">
      <c r="B46" s="112"/>
      <c r="C46" s="112">
        <f>SUM(C43:C45)</f>
        <v>46</v>
      </c>
      <c r="D46" s="113">
        <f>SUM(D43:D45)</f>
        <v>1090216</v>
      </c>
    </row>
    <row r="64" ht="20.25" customHeight="1"/>
    <row r="82" ht="24" customHeight="1"/>
  </sheetData>
  <mergeCells count="6">
    <mergeCell ref="B41:D41"/>
    <mergeCell ref="B2:D2"/>
    <mergeCell ref="B12:D12"/>
    <mergeCell ref="B18:D18"/>
    <mergeCell ref="B26:D26"/>
    <mergeCell ref="B34:D34"/>
  </mergeCell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9"/>
  <sheetViews>
    <sheetView workbookViewId="0">
      <selection activeCell="D2" sqref="D2"/>
    </sheetView>
  </sheetViews>
  <sheetFormatPr defaultRowHeight="15"/>
  <cols>
    <col min="4" max="4" width="208.140625" customWidth="1"/>
  </cols>
  <sheetData>
    <row r="1" spans="1:4">
      <c r="A1" s="4" t="s">
        <v>3176</v>
      </c>
      <c r="B1" s="4" t="s">
        <v>3177</v>
      </c>
      <c r="C1" s="4" t="s">
        <v>3178</v>
      </c>
      <c r="D1" s="4" t="s">
        <v>3179</v>
      </c>
    </row>
    <row r="2" spans="1:4">
      <c r="A2" t="s">
        <v>3180</v>
      </c>
      <c r="B2" s="29">
        <v>1710</v>
      </c>
      <c r="C2" s="29">
        <v>2000</v>
      </c>
      <c r="D2" t="s">
        <v>3181</v>
      </c>
    </row>
    <row r="3" spans="1:4">
      <c r="A3" s="29" t="s">
        <v>3182</v>
      </c>
      <c r="B3" s="29">
        <v>14675</v>
      </c>
      <c r="C3" s="29">
        <v>2009</v>
      </c>
      <c r="D3" s="29" t="s">
        <v>3183</v>
      </c>
    </row>
    <row r="4" spans="1:4">
      <c r="A4" s="29" t="s">
        <v>3182</v>
      </c>
      <c r="B4" s="29">
        <v>16342</v>
      </c>
      <c r="C4" s="29">
        <v>2014</v>
      </c>
      <c r="D4" s="29" t="s">
        <v>3184</v>
      </c>
    </row>
    <row r="5" spans="1:4">
      <c r="A5" s="29" t="s">
        <v>3180</v>
      </c>
      <c r="B5" s="29">
        <v>402</v>
      </c>
      <c r="C5" s="29">
        <v>2015</v>
      </c>
      <c r="D5" s="29" t="s">
        <v>3185</v>
      </c>
    </row>
    <row r="6" spans="1:4">
      <c r="A6" s="29" t="s">
        <v>3180</v>
      </c>
      <c r="B6" s="29">
        <v>2367</v>
      </c>
      <c r="C6" s="29">
        <v>2022</v>
      </c>
      <c r="D6" s="29" t="s">
        <v>3186</v>
      </c>
    </row>
    <row r="7" spans="1:4">
      <c r="A7" s="29" t="s">
        <v>3182</v>
      </c>
      <c r="B7" s="29">
        <v>18350</v>
      </c>
      <c r="C7" s="29">
        <v>2022</v>
      </c>
      <c r="D7" s="29" t="s">
        <v>3187</v>
      </c>
    </row>
    <row r="8" spans="1:4">
      <c r="A8" s="29"/>
      <c r="B8" s="29"/>
      <c r="C8" s="29"/>
      <c r="D8" s="29"/>
    </row>
    <row r="9" spans="1:4">
      <c r="A9" s="29"/>
      <c r="B9" s="29"/>
      <c r="C9" s="29"/>
      <c r="D9" s="29"/>
    </row>
    <row r="10" spans="1:4">
      <c r="A10" s="29"/>
      <c r="B10" s="29"/>
      <c r="C10" s="29"/>
      <c r="D10" s="29"/>
    </row>
    <row r="11" spans="1:4">
      <c r="A11" s="29"/>
      <c r="B11" s="29"/>
      <c r="C11" s="29"/>
      <c r="D11" s="29"/>
    </row>
    <row r="12" spans="1:4">
      <c r="A12" s="29"/>
      <c r="B12" s="29"/>
      <c r="C12" s="29"/>
      <c r="D12" s="29"/>
    </row>
    <row r="13" spans="1:4">
      <c r="A13" s="29"/>
      <c r="B13" s="29"/>
      <c r="C13" s="29"/>
      <c r="D13" s="29"/>
    </row>
    <row r="14" spans="1:4">
      <c r="A14" s="29"/>
      <c r="B14" s="29"/>
      <c r="C14" s="29"/>
      <c r="D14" s="29"/>
    </row>
    <row r="15" spans="1:4">
      <c r="A15" s="29"/>
      <c r="B15" s="29"/>
      <c r="C15" s="29"/>
      <c r="D15" s="29"/>
    </row>
    <row r="16" spans="1:4">
      <c r="A16" s="29"/>
      <c r="B16" s="29"/>
      <c r="C16" s="29"/>
      <c r="D16" s="29"/>
    </row>
    <row r="17" spans="1:4">
      <c r="A17" s="29"/>
      <c r="B17" s="29"/>
      <c r="C17" s="29"/>
      <c r="D17" s="29"/>
    </row>
    <row r="18" spans="1:4">
      <c r="A18" s="29"/>
      <c r="B18" s="29"/>
      <c r="C18" s="29"/>
      <c r="D18" s="29"/>
    </row>
    <row r="19" spans="1:4">
      <c r="A19" s="29"/>
      <c r="B19" s="29"/>
      <c r="C19" s="29"/>
      <c r="D19" s="29"/>
    </row>
    <row r="20" spans="1:4">
      <c r="A20" s="29"/>
      <c r="B20" s="29"/>
      <c r="C20" s="29"/>
      <c r="D20" s="29"/>
    </row>
    <row r="21" spans="1:4">
      <c r="A21" s="29"/>
      <c r="B21" s="29"/>
      <c r="C21" s="29"/>
      <c r="D21" s="29"/>
    </row>
    <row r="22" spans="1:4">
      <c r="A22" s="29"/>
      <c r="B22" s="29"/>
      <c r="C22" s="29"/>
      <c r="D22" s="29"/>
    </row>
    <row r="23" spans="1:4">
      <c r="A23" s="29"/>
      <c r="B23" s="29"/>
      <c r="C23" s="29"/>
      <c r="D23" s="29"/>
    </row>
    <row r="24" spans="1:4">
      <c r="A24" s="29"/>
      <c r="B24" s="29"/>
      <c r="C24" s="29"/>
      <c r="D24" s="29"/>
    </row>
    <row r="25" spans="1:4">
      <c r="A25" s="29"/>
      <c r="B25" s="29"/>
      <c r="C25" s="29"/>
      <c r="D25" s="29"/>
    </row>
    <row r="26" spans="1:4">
      <c r="A26" s="29"/>
      <c r="B26" s="29"/>
      <c r="C26" s="29"/>
      <c r="D26" s="29"/>
    </row>
    <row r="27" spans="1:4">
      <c r="A27" s="29"/>
      <c r="B27" s="29"/>
      <c r="C27" s="29"/>
      <c r="D27" s="29"/>
    </row>
    <row r="28" spans="1:4">
      <c r="A28" s="29"/>
      <c r="B28" s="29"/>
      <c r="C28" s="29"/>
      <c r="D28" s="29"/>
    </row>
    <row r="29" spans="1:4">
      <c r="A29" s="29"/>
      <c r="B29" s="29"/>
      <c r="C29" s="29"/>
      <c r="D29" s="29"/>
    </row>
    <row r="30" spans="1:4">
      <c r="A30" s="29"/>
      <c r="B30" s="29"/>
      <c r="C30" s="29"/>
      <c r="D30" s="29"/>
    </row>
    <row r="31" spans="1:4">
      <c r="A31" s="29"/>
      <c r="B31" s="29"/>
      <c r="C31" s="29"/>
      <c r="D31" s="29"/>
    </row>
    <row r="32" spans="1:4">
      <c r="A32" s="29"/>
      <c r="B32" s="29"/>
      <c r="C32" s="29"/>
      <c r="D32" s="29"/>
    </row>
    <row r="33" spans="1:4">
      <c r="A33" s="29"/>
      <c r="B33" s="29"/>
      <c r="C33" s="29"/>
      <c r="D33" s="29"/>
    </row>
    <row r="34" spans="1:4">
      <c r="A34" s="29"/>
      <c r="B34" s="29"/>
      <c r="C34" s="29"/>
      <c r="D34" s="29"/>
    </row>
    <row r="35" spans="1:4">
      <c r="A35" s="29"/>
      <c r="B35" s="29"/>
      <c r="C35" s="29"/>
      <c r="D35" s="29"/>
    </row>
    <row r="36" spans="1:4">
      <c r="A36" s="29"/>
      <c r="B36" s="29"/>
      <c r="C36" s="29"/>
      <c r="D36" s="29"/>
    </row>
    <row r="37" spans="1:4">
      <c r="A37" s="29"/>
      <c r="B37" s="29"/>
      <c r="C37" s="29"/>
      <c r="D37" s="29"/>
    </row>
    <row r="38" spans="1:4">
      <c r="A38" s="29"/>
      <c r="B38" s="29"/>
      <c r="C38" s="29"/>
      <c r="D38" s="29"/>
    </row>
    <row r="39" spans="1:4">
      <c r="A39" s="29"/>
      <c r="B39" s="29"/>
      <c r="C39" s="29"/>
      <c r="D39" s="29"/>
    </row>
    <row r="40" spans="1:4">
      <c r="A40" s="29"/>
      <c r="B40" s="29"/>
      <c r="C40" s="29"/>
      <c r="D40" s="29"/>
    </row>
    <row r="41" spans="1:4">
      <c r="A41" s="29"/>
      <c r="B41" s="29"/>
      <c r="C41" s="29"/>
      <c r="D41" s="29"/>
    </row>
    <row r="42" spans="1:4">
      <c r="A42" s="29"/>
      <c r="B42" s="29"/>
      <c r="C42" s="29"/>
      <c r="D42" s="29"/>
    </row>
    <row r="43" spans="1:4">
      <c r="A43" s="29"/>
      <c r="B43" s="29"/>
      <c r="C43" s="29"/>
      <c r="D43" s="29"/>
    </row>
    <row r="44" spans="1:4">
      <c r="A44" s="29"/>
      <c r="B44" s="29"/>
      <c r="C44" s="29"/>
      <c r="D44" s="29"/>
    </row>
    <row r="45" spans="1:4">
      <c r="A45" s="29"/>
      <c r="B45" s="29"/>
      <c r="C45" s="29"/>
      <c r="D45" s="29"/>
    </row>
    <row r="46" spans="1:4">
      <c r="A46" s="29"/>
      <c r="B46" s="29"/>
      <c r="C46" s="29"/>
      <c r="D46" s="29"/>
    </row>
    <row r="47" spans="1:4">
      <c r="A47" s="29"/>
      <c r="B47" s="29"/>
      <c r="C47" s="29"/>
      <c r="D47" s="29"/>
    </row>
    <row r="48" spans="1:4">
      <c r="A48" s="29"/>
      <c r="B48" s="29"/>
      <c r="C48" s="29"/>
      <c r="D48" s="29"/>
    </row>
    <row r="49" spans="1:4">
      <c r="A49" s="29"/>
      <c r="B49" s="29"/>
      <c r="C49" s="29"/>
      <c r="D49" s="29"/>
    </row>
    <row r="50" spans="1:4">
      <c r="A50" s="29"/>
      <c r="B50" s="29"/>
      <c r="C50" s="29"/>
      <c r="D50" s="29"/>
    </row>
    <row r="51" spans="1:4">
      <c r="A51" s="29"/>
      <c r="B51" s="29"/>
      <c r="C51" s="29"/>
      <c r="D51" s="29"/>
    </row>
    <row r="52" spans="1:4">
      <c r="A52" s="29"/>
      <c r="B52" s="29"/>
      <c r="C52" s="29"/>
      <c r="D52" s="29"/>
    </row>
    <row r="53" spans="1:4">
      <c r="A53" s="29"/>
      <c r="B53" s="29"/>
      <c r="C53" s="29"/>
      <c r="D53" s="29"/>
    </row>
    <row r="54" spans="1:4">
      <c r="A54" s="29"/>
      <c r="B54" s="29"/>
      <c r="C54" s="29"/>
      <c r="D54" s="29"/>
    </row>
    <row r="55" spans="1:4">
      <c r="A55" s="29"/>
      <c r="B55" s="29"/>
      <c r="C55" s="29"/>
      <c r="D55" s="29"/>
    </row>
    <row r="56" spans="1:4">
      <c r="A56" s="29"/>
      <c r="B56" s="29"/>
      <c r="C56" s="29"/>
      <c r="D56" s="29"/>
    </row>
    <row r="57" spans="1:4">
      <c r="A57" s="29"/>
      <c r="B57" s="29"/>
      <c r="C57" s="29"/>
      <c r="D57" s="29"/>
    </row>
    <row r="58" spans="1:4">
      <c r="A58" s="29"/>
      <c r="B58" s="29"/>
      <c r="C58" s="29"/>
      <c r="D58" s="29"/>
    </row>
    <row r="59" spans="1:4">
      <c r="A59" s="29"/>
      <c r="B59" s="29"/>
      <c r="C59" s="29"/>
      <c r="D59" s="29"/>
    </row>
    <row r="60" spans="1:4">
      <c r="A60" s="29"/>
      <c r="B60" s="29"/>
      <c r="C60" s="29"/>
      <c r="D60" s="29"/>
    </row>
    <row r="61" spans="1:4">
      <c r="A61" s="29"/>
      <c r="B61" s="29"/>
      <c r="C61" s="29"/>
      <c r="D61" s="29"/>
    </row>
    <row r="62" spans="1:4">
      <c r="A62" s="29"/>
      <c r="B62" s="29"/>
      <c r="C62" s="29"/>
      <c r="D62" s="29"/>
    </row>
    <row r="63" spans="1:4">
      <c r="A63" s="29"/>
      <c r="B63" s="29"/>
      <c r="C63" s="29"/>
      <c r="D63" s="29"/>
    </row>
    <row r="64" spans="1:4">
      <c r="A64" s="29"/>
      <c r="B64" s="29"/>
      <c r="C64" s="29"/>
      <c r="D64" s="29"/>
    </row>
    <row r="65" spans="1:4">
      <c r="A65" s="29"/>
      <c r="B65" s="29"/>
      <c r="C65" s="29"/>
      <c r="D65" s="29"/>
    </row>
    <row r="66" spans="1:4">
      <c r="A66" s="29"/>
      <c r="B66" s="29"/>
      <c r="C66" s="29"/>
      <c r="D66" s="29"/>
    </row>
    <row r="67" spans="1:4">
      <c r="A67" s="29"/>
      <c r="B67" s="29"/>
      <c r="C67" s="29"/>
      <c r="D67" s="29"/>
    </row>
    <row r="68" spans="1:4">
      <c r="A68" s="29"/>
      <c r="B68" s="29"/>
      <c r="C68" s="29"/>
      <c r="D68" s="29"/>
    </row>
    <row r="69" spans="1:4">
      <c r="A69" s="29"/>
      <c r="B69" s="29"/>
      <c r="C69" s="29"/>
      <c r="D69" s="29"/>
    </row>
    <row r="70" spans="1:4">
      <c r="A70" s="29"/>
      <c r="B70" s="29"/>
      <c r="C70" s="29"/>
      <c r="D70" s="29"/>
    </row>
    <row r="71" spans="1:4">
      <c r="A71" s="29"/>
      <c r="B71" s="29"/>
      <c r="C71" s="29"/>
      <c r="D71" s="29"/>
    </row>
    <row r="72" spans="1:4">
      <c r="A72" s="29"/>
      <c r="B72" s="29"/>
      <c r="C72" s="29"/>
      <c r="D72" s="29"/>
    </row>
    <row r="73" spans="1:4">
      <c r="A73" s="29"/>
      <c r="B73" s="29"/>
      <c r="C73" s="29"/>
      <c r="D73" s="29"/>
    </row>
    <row r="74" spans="1:4">
      <c r="A74" s="29"/>
      <c r="B74" s="29"/>
      <c r="C74" s="29"/>
      <c r="D74" s="29"/>
    </row>
    <row r="75" spans="1:4">
      <c r="A75" s="29"/>
      <c r="B75" s="29"/>
      <c r="C75" s="29"/>
      <c r="D75" s="29"/>
    </row>
    <row r="76" spans="1:4">
      <c r="A76" s="29"/>
      <c r="B76" s="29"/>
      <c r="C76" s="29"/>
      <c r="D76" s="29"/>
    </row>
    <row r="77" spans="1:4">
      <c r="A77" s="29"/>
      <c r="B77" s="29"/>
      <c r="C77" s="29"/>
      <c r="D77" s="29"/>
    </row>
    <row r="78" spans="1:4">
      <c r="A78" s="29"/>
      <c r="B78" s="29"/>
      <c r="C78" s="29"/>
      <c r="D78" s="29"/>
    </row>
    <row r="79" spans="1:4">
      <c r="A79" s="29"/>
      <c r="B79" s="29"/>
      <c r="C79" s="29"/>
      <c r="D79" s="29"/>
    </row>
    <row r="80" spans="1:4">
      <c r="A80" s="29"/>
      <c r="B80" s="29"/>
      <c r="C80" s="29"/>
      <c r="D80" s="29"/>
    </row>
    <row r="81" spans="1:4">
      <c r="A81" s="29"/>
      <c r="B81" s="29"/>
      <c r="C81" s="29"/>
      <c r="D81" s="29"/>
    </row>
    <row r="82" spans="1:4">
      <c r="A82" s="29"/>
      <c r="B82" s="29"/>
      <c r="C82" s="29"/>
      <c r="D82" s="29"/>
    </row>
    <row r="83" spans="1:4">
      <c r="A83" s="29"/>
      <c r="B83" s="29"/>
      <c r="C83" s="29"/>
      <c r="D83" s="29"/>
    </row>
    <row r="84" spans="1:4">
      <c r="A84" s="29"/>
      <c r="B84" s="29"/>
      <c r="C84" s="29"/>
      <c r="D84" s="29"/>
    </row>
    <row r="85" spans="1:4">
      <c r="A85" s="29"/>
      <c r="B85" s="29"/>
      <c r="C85" s="29"/>
      <c r="D85" s="29"/>
    </row>
    <row r="86" spans="1:4">
      <c r="A86" s="29"/>
      <c r="B86" s="29"/>
      <c r="C86" s="29"/>
      <c r="D86" s="29"/>
    </row>
    <row r="87" spans="1:4">
      <c r="A87" s="29"/>
      <c r="B87" s="29"/>
      <c r="C87" s="29"/>
      <c r="D87" s="29"/>
    </row>
    <row r="88" spans="1:4">
      <c r="A88" s="29"/>
      <c r="B88" s="29"/>
      <c r="C88" s="29"/>
      <c r="D88" s="29"/>
    </row>
    <row r="89" spans="1:4">
      <c r="A89" s="29"/>
      <c r="B89" s="29"/>
      <c r="C89" s="29"/>
      <c r="D89" s="29"/>
    </row>
    <row r="90" spans="1:4">
      <c r="A90" s="29"/>
      <c r="B90" s="29"/>
      <c r="C90" s="29"/>
      <c r="D90" s="29"/>
    </row>
    <row r="91" spans="1:4">
      <c r="A91" s="29"/>
      <c r="B91" s="29"/>
      <c r="C91" s="29"/>
      <c r="D91" s="29"/>
    </row>
    <row r="92" spans="1:4">
      <c r="A92" s="29"/>
      <c r="B92" s="29"/>
      <c r="C92" s="29"/>
      <c r="D92" s="29"/>
    </row>
    <row r="93" spans="1:4">
      <c r="A93" s="29"/>
      <c r="B93" s="29"/>
      <c r="C93" s="29"/>
      <c r="D93" s="29"/>
    </row>
    <row r="94" spans="1:4">
      <c r="A94" s="29"/>
      <c r="B94" s="29"/>
      <c r="C94" s="29"/>
      <c r="D94" s="29"/>
    </row>
    <row r="95" spans="1:4">
      <c r="A95" s="29"/>
      <c r="B95" s="29"/>
      <c r="C95" s="29"/>
      <c r="D95" s="29"/>
    </row>
    <row r="96" spans="1:4">
      <c r="A96" s="29"/>
      <c r="B96" s="29"/>
      <c r="C96" s="29"/>
      <c r="D96" s="29"/>
    </row>
    <row r="97" spans="1:4">
      <c r="A97" s="29"/>
      <c r="B97" s="29"/>
      <c r="C97" s="29"/>
      <c r="D97" s="29"/>
    </row>
    <row r="98" spans="1:4">
      <c r="A98" s="29"/>
      <c r="B98" s="29"/>
      <c r="C98" s="29"/>
      <c r="D98" s="29"/>
    </row>
    <row r="99" spans="1:4">
      <c r="A99" s="29"/>
      <c r="B99" s="29"/>
      <c r="C99" s="29"/>
      <c r="D99" s="29"/>
    </row>
    <row r="100" spans="1:4">
      <c r="A100" s="29"/>
      <c r="B100" s="29"/>
      <c r="C100" s="29"/>
      <c r="D100" s="29"/>
    </row>
    <row r="101" spans="1:4">
      <c r="A101" s="29"/>
      <c r="B101" s="29"/>
      <c r="C101" s="29"/>
      <c r="D101" s="29"/>
    </row>
    <row r="102" spans="1:4">
      <c r="A102" s="29"/>
      <c r="B102" s="29"/>
      <c r="C102" s="29"/>
      <c r="D102" s="29"/>
    </row>
    <row r="103" spans="1:4">
      <c r="A103" s="29"/>
      <c r="B103" s="29"/>
      <c r="C103" s="29"/>
      <c r="D103" s="29"/>
    </row>
    <row r="104" spans="1:4">
      <c r="A104" s="29"/>
      <c r="B104" s="29"/>
      <c r="C104" s="29"/>
      <c r="D104" s="29"/>
    </row>
    <row r="105" spans="1:4">
      <c r="A105" s="29"/>
      <c r="B105" s="29"/>
      <c r="C105" s="29"/>
      <c r="D105" s="29"/>
    </row>
    <row r="106" spans="1:4">
      <c r="A106" s="29"/>
      <c r="B106" s="29"/>
      <c r="C106" s="29"/>
      <c r="D106" s="29"/>
    </row>
    <row r="107" spans="1:4">
      <c r="A107" s="29"/>
      <c r="B107" s="29"/>
      <c r="C107" s="29"/>
      <c r="D107" s="29"/>
    </row>
    <row r="108" spans="1:4">
      <c r="A108" s="29"/>
      <c r="B108" s="29"/>
      <c r="C108" s="29"/>
      <c r="D108" s="29"/>
    </row>
    <row r="109" spans="1:4">
      <c r="A109" s="29"/>
      <c r="B109" s="29"/>
      <c r="C109" s="29"/>
      <c r="D109" s="29"/>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42"/>
  <sheetViews>
    <sheetView topLeftCell="A123" workbookViewId="0">
      <selection activeCell="A25" sqref="A25"/>
    </sheetView>
  </sheetViews>
  <sheetFormatPr defaultRowHeight="15"/>
  <cols>
    <col min="1" max="1" width="24.5703125" customWidth="1"/>
    <col min="2" max="2" width="47.7109375" customWidth="1"/>
    <col min="4" max="4" width="59.140625" customWidth="1"/>
    <col min="5" max="5" width="35.140625" customWidth="1"/>
    <col min="6" max="6" width="14.42578125" customWidth="1"/>
    <col min="7" max="7" width="18.85546875" customWidth="1"/>
  </cols>
  <sheetData>
    <row r="1" spans="1:6" ht="15.75" thickBot="1">
      <c r="A1" s="137" t="s">
        <v>3188</v>
      </c>
      <c r="B1" s="138" t="s">
        <v>3189</v>
      </c>
      <c r="C1" s="138" t="s">
        <v>3178</v>
      </c>
      <c r="D1" s="138" t="s">
        <v>3190</v>
      </c>
      <c r="E1" s="138" t="s">
        <v>1272</v>
      </c>
      <c r="F1" s="139" t="s">
        <v>1396</v>
      </c>
    </row>
    <row r="2" spans="1:6" ht="15.75" hidden="1" thickTop="1">
      <c r="A2" s="140" t="s">
        <v>3191</v>
      </c>
      <c r="B2" s="2" t="s">
        <v>3054</v>
      </c>
      <c r="C2" s="2">
        <v>2009</v>
      </c>
      <c r="D2" s="125" t="s">
        <v>722</v>
      </c>
      <c r="E2" s="2" t="s">
        <v>1574</v>
      </c>
      <c r="F2" s="2">
        <v>60</v>
      </c>
    </row>
    <row r="3" spans="1:6" hidden="1">
      <c r="A3" s="140" t="s">
        <v>3191</v>
      </c>
      <c r="B3" s="2" t="s">
        <v>3005</v>
      </c>
      <c r="C3" s="2">
        <v>2001</v>
      </c>
      <c r="D3" s="124" t="s">
        <v>518</v>
      </c>
      <c r="E3" s="2" t="s">
        <v>1574</v>
      </c>
      <c r="F3" s="2">
        <v>49</v>
      </c>
    </row>
    <row r="4" spans="1:6" hidden="1">
      <c r="A4" s="140" t="s">
        <v>3191</v>
      </c>
      <c r="B4" s="142" t="s">
        <v>3126</v>
      </c>
      <c r="C4" s="142">
        <v>2013</v>
      </c>
      <c r="D4" s="178" t="s">
        <v>858</v>
      </c>
      <c r="E4" s="142" t="s">
        <v>1593</v>
      </c>
      <c r="F4" s="144">
        <v>13.5</v>
      </c>
    </row>
    <row r="5" spans="1:6" hidden="1">
      <c r="A5" s="140" t="s">
        <v>3191</v>
      </c>
      <c r="B5" s="2" t="s">
        <v>3023</v>
      </c>
      <c r="C5" s="2">
        <v>2002</v>
      </c>
      <c r="D5" s="124" t="s">
        <v>552</v>
      </c>
      <c r="E5" s="2" t="s">
        <v>1600</v>
      </c>
      <c r="F5" s="2">
        <v>10</v>
      </c>
    </row>
    <row r="6" spans="1:6" hidden="1">
      <c r="A6" s="140" t="s">
        <v>3191</v>
      </c>
      <c r="B6" s="2" t="s">
        <v>3132</v>
      </c>
      <c r="C6" s="2">
        <v>2013</v>
      </c>
      <c r="D6" s="124" t="s">
        <v>865</v>
      </c>
      <c r="E6" s="2" t="s">
        <v>1600</v>
      </c>
      <c r="F6" s="2">
        <v>43.5</v>
      </c>
    </row>
    <row r="7" spans="1:6" hidden="1">
      <c r="A7" s="140" t="s">
        <v>3191</v>
      </c>
      <c r="B7" s="2" t="s">
        <v>3042</v>
      </c>
      <c r="C7" s="2">
        <v>2008</v>
      </c>
      <c r="D7" s="124" t="s">
        <v>694</v>
      </c>
      <c r="E7" s="2" t="s">
        <v>1600</v>
      </c>
      <c r="F7" s="2">
        <v>33.58</v>
      </c>
    </row>
    <row r="8" spans="1:6" hidden="1">
      <c r="A8" s="140" t="s">
        <v>3191</v>
      </c>
      <c r="B8" s="2" t="s">
        <v>2969</v>
      </c>
      <c r="C8" s="2">
        <v>1990</v>
      </c>
      <c r="D8" s="126" t="s">
        <v>308</v>
      </c>
      <c r="E8" s="2" t="s">
        <v>1645</v>
      </c>
      <c r="F8" s="2">
        <v>1854</v>
      </c>
    </row>
    <row r="9" spans="1:6" hidden="1">
      <c r="A9" s="140" t="s">
        <v>3191</v>
      </c>
      <c r="B9" s="2" t="s">
        <v>2984</v>
      </c>
      <c r="C9" s="2">
        <v>1998</v>
      </c>
      <c r="D9" s="126" t="s">
        <v>449</v>
      </c>
      <c r="E9" s="2" t="s">
        <v>1645</v>
      </c>
      <c r="F9" s="2">
        <v>900.39</v>
      </c>
    </row>
    <row r="10" spans="1:6" hidden="1">
      <c r="A10" s="140" t="s">
        <v>3191</v>
      </c>
      <c r="B10" s="2" t="s">
        <v>2987</v>
      </c>
      <c r="C10" s="2">
        <v>1998</v>
      </c>
      <c r="D10" s="126" t="s">
        <v>313</v>
      </c>
      <c r="E10" s="2" t="s">
        <v>1645</v>
      </c>
      <c r="F10" s="2">
        <v>558.86</v>
      </c>
    </row>
    <row r="11" spans="1:6" ht="16.149999999999999" hidden="1" customHeight="1">
      <c r="A11" s="140" t="s">
        <v>3191</v>
      </c>
      <c r="B11" s="142" t="s">
        <v>2981</v>
      </c>
      <c r="C11" s="142">
        <v>1997</v>
      </c>
      <c r="D11" s="178" t="s">
        <v>3192</v>
      </c>
      <c r="E11" s="142" t="s">
        <v>1709</v>
      </c>
      <c r="F11" s="144">
        <v>3</v>
      </c>
    </row>
    <row r="12" spans="1:6" ht="16.149999999999999" hidden="1" customHeight="1">
      <c r="A12" s="140" t="s">
        <v>3191</v>
      </c>
      <c r="B12" s="2" t="s">
        <v>3040</v>
      </c>
      <c r="C12" s="2">
        <v>2005</v>
      </c>
      <c r="D12" s="124" t="s">
        <v>607</v>
      </c>
      <c r="E12" s="2" t="s">
        <v>3193</v>
      </c>
      <c r="F12" s="2">
        <v>14.04</v>
      </c>
    </row>
    <row r="13" spans="1:6" ht="16.149999999999999" hidden="1" customHeight="1">
      <c r="A13" s="140" t="s">
        <v>3191</v>
      </c>
      <c r="B13" s="2" t="s">
        <v>3194</v>
      </c>
      <c r="C13" s="2">
        <v>1999</v>
      </c>
      <c r="D13" s="124" t="s">
        <v>474</v>
      </c>
      <c r="E13" s="2" t="s">
        <v>385</v>
      </c>
      <c r="F13" s="2">
        <v>38.200000000000003</v>
      </c>
    </row>
    <row r="14" spans="1:6" ht="16.149999999999999" hidden="1" customHeight="1">
      <c r="A14" s="140" t="s">
        <v>3191</v>
      </c>
      <c r="B14" s="2" t="s">
        <v>3072</v>
      </c>
      <c r="C14" s="2">
        <v>2010</v>
      </c>
      <c r="D14" s="124" t="s">
        <v>758</v>
      </c>
      <c r="E14" s="2" t="s">
        <v>1779</v>
      </c>
      <c r="F14" s="2">
        <v>316.05</v>
      </c>
    </row>
    <row r="15" spans="1:6" ht="16.149999999999999" hidden="1" customHeight="1">
      <c r="A15" s="140" t="s">
        <v>3191</v>
      </c>
      <c r="B15" s="2" t="s">
        <v>2975</v>
      </c>
      <c r="C15" s="2">
        <v>1993</v>
      </c>
      <c r="D15" s="124" t="s">
        <v>360</v>
      </c>
      <c r="E15" s="2" t="s">
        <v>391</v>
      </c>
      <c r="F15" s="2">
        <v>5296.16</v>
      </c>
    </row>
    <row r="16" spans="1:6" ht="16.149999999999999" hidden="1" customHeight="1">
      <c r="A16" s="140" t="s">
        <v>3191</v>
      </c>
      <c r="B16" s="2" t="s">
        <v>2978</v>
      </c>
      <c r="C16" s="2">
        <v>1993</v>
      </c>
      <c r="D16" s="124" t="s">
        <v>364</v>
      </c>
      <c r="E16" s="2" t="s">
        <v>391</v>
      </c>
      <c r="F16" s="2">
        <v>82.7</v>
      </c>
    </row>
    <row r="17" spans="1:6" hidden="1">
      <c r="A17" s="140" t="s">
        <v>3191</v>
      </c>
      <c r="B17" s="142" t="s">
        <v>3128</v>
      </c>
      <c r="C17" s="142">
        <v>2013</v>
      </c>
      <c r="D17" s="178" t="s">
        <v>862</v>
      </c>
      <c r="E17" s="142" t="s">
        <v>1829</v>
      </c>
      <c r="F17" s="144">
        <v>45.5</v>
      </c>
    </row>
    <row r="18" spans="1:6" hidden="1">
      <c r="A18" s="140" t="s">
        <v>3191</v>
      </c>
      <c r="B18" s="2" t="s">
        <v>3058</v>
      </c>
      <c r="C18" s="2">
        <v>2009</v>
      </c>
      <c r="D18" s="124" t="s">
        <v>713</v>
      </c>
      <c r="E18" s="2" t="s">
        <v>1829</v>
      </c>
      <c r="F18" s="2">
        <v>32.08</v>
      </c>
    </row>
    <row r="19" spans="1:6" hidden="1">
      <c r="A19" s="140" t="s">
        <v>3191</v>
      </c>
      <c r="B19" s="2" t="s">
        <v>3056</v>
      </c>
      <c r="C19" s="2">
        <v>2009</v>
      </c>
      <c r="D19" s="124" t="s">
        <v>716</v>
      </c>
      <c r="E19" s="2" t="s">
        <v>1829</v>
      </c>
      <c r="F19" s="2">
        <v>24.44</v>
      </c>
    </row>
    <row r="20" spans="1:6" hidden="1">
      <c r="A20" s="140" t="s">
        <v>3191</v>
      </c>
      <c r="B20" s="2" t="s">
        <v>3060</v>
      </c>
      <c r="C20" s="2">
        <v>2009</v>
      </c>
      <c r="D20" s="124" t="s">
        <v>719</v>
      </c>
      <c r="E20" s="2" t="s">
        <v>1829</v>
      </c>
      <c r="F20" s="2">
        <v>78.599999999999994</v>
      </c>
    </row>
    <row r="21" spans="1:6" hidden="1">
      <c r="A21" s="140" t="s">
        <v>3191</v>
      </c>
      <c r="B21" s="2" t="s">
        <v>3044</v>
      </c>
      <c r="C21" s="2">
        <v>2008</v>
      </c>
      <c r="D21" s="124" t="s">
        <v>675</v>
      </c>
      <c r="E21" s="2" t="s">
        <v>1829</v>
      </c>
      <c r="F21" s="2">
        <v>59.46</v>
      </c>
    </row>
    <row r="22" spans="1:6" hidden="1">
      <c r="A22" s="140" t="s">
        <v>3191</v>
      </c>
      <c r="B22" s="2" t="s">
        <v>3082</v>
      </c>
      <c r="C22" s="2">
        <v>2011</v>
      </c>
      <c r="D22" s="124" t="s">
        <v>783</v>
      </c>
      <c r="E22" s="2" t="s">
        <v>1829</v>
      </c>
      <c r="F22" s="2">
        <v>4018.77</v>
      </c>
    </row>
    <row r="23" spans="1:6" hidden="1">
      <c r="A23" s="140" t="s">
        <v>3191</v>
      </c>
      <c r="B23" s="2" t="s">
        <v>3074</v>
      </c>
      <c r="C23" s="2">
        <v>2010</v>
      </c>
      <c r="D23" s="124" t="s">
        <v>752</v>
      </c>
      <c r="E23" s="2" t="s">
        <v>460</v>
      </c>
      <c r="F23" s="2">
        <v>45</v>
      </c>
    </row>
    <row r="24" spans="1:6" ht="15.75" thickTop="1">
      <c r="A24" s="140" t="s">
        <v>3191</v>
      </c>
      <c r="B24" s="2" t="s">
        <v>3195</v>
      </c>
      <c r="C24" s="2">
        <v>2002</v>
      </c>
      <c r="D24" s="124" t="s">
        <v>535</v>
      </c>
      <c r="E24" s="2" t="s">
        <v>480</v>
      </c>
      <c r="F24" s="2">
        <v>102.96</v>
      </c>
    </row>
    <row r="25" spans="1:6">
      <c r="A25" s="140" t="s">
        <v>3191</v>
      </c>
      <c r="B25" s="2" t="s">
        <v>3008</v>
      </c>
      <c r="C25" s="2">
        <v>2001</v>
      </c>
      <c r="D25" s="124" t="s">
        <v>510</v>
      </c>
      <c r="E25" s="2" t="s">
        <v>480</v>
      </c>
      <c r="F25" s="2">
        <v>415.79</v>
      </c>
    </row>
    <row r="26" spans="1:6" hidden="1">
      <c r="A26" s="140" t="s">
        <v>3191</v>
      </c>
      <c r="B26" s="142" t="s">
        <v>3102</v>
      </c>
      <c r="C26" s="142">
        <v>2015</v>
      </c>
      <c r="D26" s="178" t="s">
        <v>893</v>
      </c>
      <c r="E26" s="142" t="s">
        <v>498</v>
      </c>
      <c r="F26" s="144">
        <v>85.2</v>
      </c>
    </row>
    <row r="27" spans="1:6" hidden="1">
      <c r="A27" s="140" t="s">
        <v>3191</v>
      </c>
      <c r="B27" s="2" t="s">
        <v>3046</v>
      </c>
      <c r="C27" s="2">
        <v>2008</v>
      </c>
      <c r="D27" s="124" t="s">
        <v>679</v>
      </c>
      <c r="E27" s="2" t="s">
        <v>1891</v>
      </c>
      <c r="F27" s="2">
        <v>6328.6</v>
      </c>
    </row>
    <row r="28" spans="1:6" hidden="1">
      <c r="A28" s="140" t="s">
        <v>3191</v>
      </c>
      <c r="B28" s="168" t="s">
        <v>3196</v>
      </c>
      <c r="C28" s="168">
        <v>2002</v>
      </c>
      <c r="D28" s="176" t="s">
        <v>3197</v>
      </c>
      <c r="E28" s="168" t="s">
        <v>1956</v>
      </c>
      <c r="F28" s="168">
        <v>1156.33</v>
      </c>
    </row>
    <row r="29" spans="1:6" hidden="1">
      <c r="A29" s="140" t="s">
        <v>3191</v>
      </c>
      <c r="B29" s="142" t="s">
        <v>3198</v>
      </c>
      <c r="C29" s="142">
        <v>2021</v>
      </c>
      <c r="D29" s="178" t="s">
        <v>1075</v>
      </c>
      <c r="E29" s="142" t="s">
        <v>1986</v>
      </c>
      <c r="F29" s="144">
        <v>10.64</v>
      </c>
    </row>
    <row r="30" spans="1:6" hidden="1">
      <c r="A30" s="140" t="s">
        <v>3191</v>
      </c>
      <c r="B30" s="142" t="s">
        <v>3199</v>
      </c>
      <c r="C30" s="142">
        <v>1998</v>
      </c>
      <c r="D30" s="178" t="s">
        <v>3200</v>
      </c>
      <c r="E30" s="142" t="s">
        <v>1289</v>
      </c>
      <c r="F30" s="144">
        <v>441.6</v>
      </c>
    </row>
    <row r="31" spans="1:6" hidden="1">
      <c r="A31" s="140" t="s">
        <v>3191</v>
      </c>
      <c r="B31" s="142" t="s">
        <v>3201</v>
      </c>
      <c r="C31" s="142">
        <v>1999</v>
      </c>
      <c r="D31" s="178" t="s">
        <v>3202</v>
      </c>
      <c r="E31" s="142" t="s">
        <v>1289</v>
      </c>
      <c r="F31" s="144">
        <v>17</v>
      </c>
    </row>
    <row r="32" spans="1:6" hidden="1">
      <c r="A32" s="140" t="s">
        <v>3191</v>
      </c>
      <c r="B32" s="2" t="s">
        <v>2996</v>
      </c>
      <c r="C32" s="2">
        <v>1999</v>
      </c>
      <c r="D32" s="124" t="s">
        <v>471</v>
      </c>
      <c r="E32" s="2" t="s">
        <v>1289</v>
      </c>
      <c r="F32" s="2">
        <v>44.16</v>
      </c>
    </row>
    <row r="33" spans="1:6" hidden="1">
      <c r="A33" s="140" t="s">
        <v>3191</v>
      </c>
      <c r="B33" s="2" t="s">
        <v>2993</v>
      </c>
      <c r="C33" s="2">
        <v>1999</v>
      </c>
      <c r="D33" s="124" t="s">
        <v>477</v>
      </c>
      <c r="E33" s="2" t="s">
        <v>1289</v>
      </c>
      <c r="F33" s="2">
        <v>16</v>
      </c>
    </row>
    <row r="34" spans="1:6" hidden="1">
      <c r="A34" s="140" t="s">
        <v>3191</v>
      </c>
      <c r="B34" s="2" t="s">
        <v>3104</v>
      </c>
      <c r="C34" s="2">
        <v>2016</v>
      </c>
      <c r="D34" s="124" t="s">
        <v>927</v>
      </c>
      <c r="E34" s="2" t="s">
        <v>1289</v>
      </c>
      <c r="F34" s="2">
        <v>74.05</v>
      </c>
    </row>
    <row r="35" spans="1:6" hidden="1">
      <c r="A35" s="140" t="s">
        <v>3191</v>
      </c>
      <c r="B35" s="2" t="s">
        <v>3195</v>
      </c>
      <c r="C35" s="2">
        <v>2002</v>
      </c>
      <c r="D35" s="124" t="s">
        <v>3203</v>
      </c>
      <c r="E35" s="2" t="s">
        <v>2078</v>
      </c>
      <c r="F35" s="2">
        <v>102.96</v>
      </c>
    </row>
    <row r="36" spans="1:6" hidden="1">
      <c r="A36" s="140" t="s">
        <v>3191</v>
      </c>
      <c r="B36" s="2" t="s">
        <v>3048</v>
      </c>
      <c r="C36" s="2">
        <v>2008</v>
      </c>
      <c r="D36" s="124" t="s">
        <v>687</v>
      </c>
      <c r="E36" s="2" t="s">
        <v>2087</v>
      </c>
      <c r="F36" s="2">
        <v>1.89</v>
      </c>
    </row>
    <row r="37" spans="1:6" hidden="1">
      <c r="A37" s="140" t="s">
        <v>3191</v>
      </c>
      <c r="B37" s="2" t="s">
        <v>3050</v>
      </c>
      <c r="C37" s="2">
        <v>2008</v>
      </c>
      <c r="D37" s="124" t="s">
        <v>691</v>
      </c>
      <c r="E37" s="2" t="s">
        <v>2087</v>
      </c>
      <c r="F37" s="2">
        <v>2.75</v>
      </c>
    </row>
    <row r="38" spans="1:6" hidden="1">
      <c r="A38" s="140" t="s">
        <v>3191</v>
      </c>
      <c r="B38" s="2" t="s">
        <v>3204</v>
      </c>
      <c r="C38" s="2">
        <v>2014</v>
      </c>
      <c r="D38" s="124" t="s">
        <v>878</v>
      </c>
      <c r="E38" s="2" t="s">
        <v>2092</v>
      </c>
      <c r="F38" s="2">
        <v>4.5999999999999996</v>
      </c>
    </row>
    <row r="39" spans="1:6" hidden="1">
      <c r="A39" s="140" t="s">
        <v>3191</v>
      </c>
      <c r="B39" s="2" t="s">
        <v>3064</v>
      </c>
      <c r="C39" s="2">
        <v>2009</v>
      </c>
      <c r="D39" s="126" t="s">
        <v>709</v>
      </c>
      <c r="E39" s="2" t="s">
        <v>2191</v>
      </c>
      <c r="F39" s="2">
        <v>332.92</v>
      </c>
    </row>
    <row r="40" spans="1:6" hidden="1">
      <c r="A40" s="140" t="s">
        <v>3191</v>
      </c>
      <c r="B40" s="2" t="s">
        <v>3090</v>
      </c>
      <c r="C40" s="2">
        <v>2012</v>
      </c>
      <c r="D40" s="126" t="s">
        <v>821</v>
      </c>
      <c r="E40" s="2" t="s">
        <v>2191</v>
      </c>
      <c r="F40" s="2">
        <v>79.05</v>
      </c>
    </row>
    <row r="41" spans="1:6" hidden="1">
      <c r="A41" s="140" t="s">
        <v>3191</v>
      </c>
      <c r="B41" s="2" t="s">
        <v>3084</v>
      </c>
      <c r="C41" s="2">
        <v>2011</v>
      </c>
      <c r="D41" s="126" t="s">
        <v>780</v>
      </c>
      <c r="E41" s="2" t="s">
        <v>2191</v>
      </c>
      <c r="F41" s="2">
        <v>55.73</v>
      </c>
    </row>
    <row r="42" spans="1:6" hidden="1">
      <c r="A42" s="140" t="s">
        <v>3191</v>
      </c>
      <c r="B42" s="2" t="s">
        <v>3092</v>
      </c>
      <c r="C42" s="2">
        <v>2012</v>
      </c>
      <c r="D42" s="126" t="s">
        <v>830</v>
      </c>
      <c r="E42" s="2" t="s">
        <v>2191</v>
      </c>
      <c r="F42" s="2">
        <v>212.07</v>
      </c>
    </row>
    <row r="43" spans="1:6" hidden="1">
      <c r="A43" s="140" t="s">
        <v>3191</v>
      </c>
      <c r="B43" s="2" t="s">
        <v>3088</v>
      </c>
      <c r="C43" s="2">
        <v>2012</v>
      </c>
      <c r="D43" s="126" t="s">
        <v>839</v>
      </c>
      <c r="E43" s="2" t="s">
        <v>2191</v>
      </c>
      <c r="F43" s="2">
        <v>54.34</v>
      </c>
    </row>
    <row r="44" spans="1:6" hidden="1">
      <c r="A44" s="140" t="s">
        <v>3191</v>
      </c>
      <c r="B44" s="2" t="s">
        <v>3122</v>
      </c>
      <c r="C44" s="2">
        <v>2016</v>
      </c>
      <c r="D44" s="124" t="s">
        <v>3205</v>
      </c>
      <c r="E44" s="2" t="s">
        <v>2191</v>
      </c>
      <c r="F44" s="2">
        <v>28.64</v>
      </c>
    </row>
    <row r="45" spans="1:6" hidden="1">
      <c r="A45" s="140" t="s">
        <v>3191</v>
      </c>
      <c r="B45" s="2" t="s">
        <v>3122</v>
      </c>
      <c r="C45" s="2">
        <v>2016</v>
      </c>
      <c r="D45" s="126" t="s">
        <v>3206</v>
      </c>
      <c r="E45" s="2" t="s">
        <v>2191</v>
      </c>
      <c r="F45" s="2">
        <v>28.64</v>
      </c>
    </row>
    <row r="46" spans="1:6" hidden="1">
      <c r="A46" s="140" t="s">
        <v>3191</v>
      </c>
      <c r="B46" s="2" t="s">
        <v>3078</v>
      </c>
      <c r="C46" s="2">
        <v>2010</v>
      </c>
      <c r="D46" s="126" t="s">
        <v>755</v>
      </c>
      <c r="E46" s="2" t="s">
        <v>2191</v>
      </c>
      <c r="F46" s="2">
        <v>31.86</v>
      </c>
    </row>
    <row r="47" spans="1:6" hidden="1">
      <c r="A47" s="140" t="s">
        <v>3191</v>
      </c>
      <c r="B47" s="2" t="s">
        <v>3062</v>
      </c>
      <c r="C47" s="2">
        <v>2009</v>
      </c>
      <c r="D47" s="126" t="s">
        <v>3207</v>
      </c>
      <c r="E47" s="2" t="s">
        <v>2191</v>
      </c>
      <c r="F47" s="2">
        <v>23.12</v>
      </c>
    </row>
    <row r="48" spans="1:6" hidden="1">
      <c r="A48" s="140" t="s">
        <v>3191</v>
      </c>
      <c r="B48" s="2" t="s">
        <v>3076</v>
      </c>
      <c r="C48" s="2">
        <v>2010</v>
      </c>
      <c r="D48" s="126" t="s">
        <v>762</v>
      </c>
      <c r="E48" s="2" t="s">
        <v>2191</v>
      </c>
      <c r="F48" s="2">
        <v>36.299999999999997</v>
      </c>
    </row>
    <row r="49" spans="1:6" hidden="1">
      <c r="A49" s="140" t="s">
        <v>3191</v>
      </c>
      <c r="B49" s="2" t="s">
        <v>3208</v>
      </c>
      <c r="C49" s="2">
        <v>2020</v>
      </c>
      <c r="D49" s="126" t="s">
        <v>1035</v>
      </c>
      <c r="E49" s="2" t="s">
        <v>2191</v>
      </c>
      <c r="F49" s="2">
        <v>98.83</v>
      </c>
    </row>
    <row r="50" spans="1:6" hidden="1">
      <c r="A50" s="140" t="s">
        <v>3191</v>
      </c>
      <c r="B50" s="2" t="s">
        <v>3106</v>
      </c>
      <c r="C50" s="2">
        <v>2018</v>
      </c>
      <c r="D50" s="146" t="s">
        <v>971</v>
      </c>
      <c r="E50" s="2" t="s">
        <v>916</v>
      </c>
      <c r="F50" s="2">
        <v>5.2</v>
      </c>
    </row>
    <row r="51" spans="1:6" hidden="1">
      <c r="A51" s="140" t="s">
        <v>3191</v>
      </c>
      <c r="B51" s="2" t="s">
        <v>2972</v>
      </c>
      <c r="C51" s="2">
        <v>1992</v>
      </c>
      <c r="D51" s="177" t="s">
        <v>3209</v>
      </c>
      <c r="E51" s="2" t="s">
        <v>960</v>
      </c>
      <c r="F51" s="2">
        <v>590.6</v>
      </c>
    </row>
    <row r="52" spans="1:6" hidden="1">
      <c r="A52" s="140" t="s">
        <v>3191</v>
      </c>
      <c r="B52" s="2" t="s">
        <v>3110</v>
      </c>
      <c r="C52" s="2">
        <v>2018</v>
      </c>
      <c r="D52" s="146" t="s">
        <v>978</v>
      </c>
      <c r="E52" s="2" t="s">
        <v>960</v>
      </c>
      <c r="F52" s="2">
        <v>285.23</v>
      </c>
    </row>
    <row r="53" spans="1:6" hidden="1">
      <c r="A53" s="140" t="s">
        <v>3191</v>
      </c>
      <c r="B53" s="2" t="s">
        <v>2981</v>
      </c>
      <c r="C53" s="2">
        <v>1997</v>
      </c>
      <c r="D53" s="124" t="s">
        <v>410</v>
      </c>
      <c r="E53" s="2" t="s">
        <v>1340</v>
      </c>
      <c r="F53" s="2">
        <v>3</v>
      </c>
    </row>
    <row r="54" spans="1:6" hidden="1">
      <c r="A54" s="140" t="s">
        <v>3191</v>
      </c>
      <c r="B54" s="2" t="s">
        <v>3011</v>
      </c>
      <c r="C54" s="2">
        <v>2001</v>
      </c>
      <c r="D54" s="177" t="s">
        <v>3210</v>
      </c>
      <c r="E54" s="2" t="s">
        <v>574</v>
      </c>
      <c r="F54" s="2">
        <v>4613.8</v>
      </c>
    </row>
    <row r="55" spans="1:6" hidden="1">
      <c r="A55" s="140" t="s">
        <v>3191</v>
      </c>
      <c r="B55" s="2" t="s">
        <v>3211</v>
      </c>
      <c r="C55" s="2">
        <v>2023</v>
      </c>
      <c r="D55" s="146" t="s">
        <v>1066</v>
      </c>
      <c r="E55" s="2" t="s">
        <v>1064</v>
      </c>
      <c r="F55" s="2">
        <v>14.25</v>
      </c>
    </row>
    <row r="56" spans="1:6" hidden="1">
      <c r="A56" s="140" t="s">
        <v>3191</v>
      </c>
      <c r="B56" s="2" t="s">
        <v>3066</v>
      </c>
      <c r="C56" s="2">
        <v>2009</v>
      </c>
      <c r="D56" s="124" t="s">
        <v>725</v>
      </c>
      <c r="E56" s="2" t="s">
        <v>2405</v>
      </c>
      <c r="F56" s="2">
        <v>5.99</v>
      </c>
    </row>
    <row r="57" spans="1:6" hidden="1">
      <c r="A57" s="140" t="s">
        <v>3191</v>
      </c>
      <c r="B57" s="2" t="s">
        <v>3112</v>
      </c>
      <c r="C57" s="2">
        <v>2016</v>
      </c>
      <c r="D57" s="124" t="s">
        <v>921</v>
      </c>
      <c r="E57" s="2" t="s">
        <v>2405</v>
      </c>
      <c r="F57" s="2">
        <v>1.79</v>
      </c>
    </row>
    <row r="58" spans="1:6" hidden="1">
      <c r="A58" s="140" t="s">
        <v>3191</v>
      </c>
      <c r="B58" s="2" t="s">
        <v>3014</v>
      </c>
      <c r="C58" s="2">
        <v>2001</v>
      </c>
      <c r="D58" s="124" t="s">
        <v>522</v>
      </c>
      <c r="E58" s="2" t="s">
        <v>2405</v>
      </c>
      <c r="F58" s="2">
        <v>100</v>
      </c>
    </row>
    <row r="59" spans="1:6" hidden="1">
      <c r="A59" s="140" t="s">
        <v>3191</v>
      </c>
      <c r="B59" s="2" t="s">
        <v>3212</v>
      </c>
      <c r="C59" s="2">
        <v>2014</v>
      </c>
      <c r="D59" s="124" t="s">
        <v>875</v>
      </c>
      <c r="E59" s="2" t="s">
        <v>2405</v>
      </c>
      <c r="F59" s="2">
        <v>70</v>
      </c>
    </row>
    <row r="60" spans="1:6" hidden="1">
      <c r="A60" s="140" t="s">
        <v>3191</v>
      </c>
      <c r="B60" s="2" t="s">
        <v>3114</v>
      </c>
      <c r="C60" s="2">
        <v>2017</v>
      </c>
      <c r="D60" s="124" t="s">
        <v>943</v>
      </c>
      <c r="E60" s="2" t="s">
        <v>1516</v>
      </c>
      <c r="F60" s="2">
        <v>6.14</v>
      </c>
    </row>
    <row r="61" spans="1:6" hidden="1">
      <c r="A61" s="140" t="s">
        <v>3191</v>
      </c>
      <c r="B61" s="2" t="s">
        <v>3038</v>
      </c>
      <c r="C61" s="2">
        <v>2004</v>
      </c>
      <c r="D61" s="124" t="s">
        <v>582</v>
      </c>
      <c r="E61" s="2" t="s">
        <v>1516</v>
      </c>
      <c r="F61" s="2">
        <v>226.47</v>
      </c>
    </row>
    <row r="62" spans="1:6" hidden="1">
      <c r="A62" s="140" t="s">
        <v>3191</v>
      </c>
      <c r="B62" s="2" t="s">
        <v>3094</v>
      </c>
      <c r="C62" s="2">
        <v>2012</v>
      </c>
      <c r="D62" s="124" t="s">
        <v>833</v>
      </c>
      <c r="E62" s="2" t="s">
        <v>1516</v>
      </c>
      <c r="F62" s="2">
        <v>66.7</v>
      </c>
    </row>
    <row r="63" spans="1:6" hidden="1">
      <c r="A63" s="140" t="s">
        <v>3191</v>
      </c>
      <c r="B63" s="2" t="s">
        <v>3213</v>
      </c>
      <c r="C63" s="2">
        <v>2023</v>
      </c>
      <c r="D63" s="124" t="s">
        <v>1084</v>
      </c>
      <c r="E63" s="2" t="s">
        <v>1085</v>
      </c>
      <c r="F63" s="2">
        <v>8.74</v>
      </c>
    </row>
    <row r="64" spans="1:6" hidden="1">
      <c r="A64" s="140" t="s">
        <v>3191</v>
      </c>
      <c r="B64" s="2" t="s">
        <v>3032</v>
      </c>
      <c r="C64" s="2">
        <v>2002</v>
      </c>
      <c r="D64" s="124" t="s">
        <v>3214</v>
      </c>
      <c r="E64" s="2" t="s">
        <v>2539</v>
      </c>
      <c r="F64" s="2">
        <v>45.9</v>
      </c>
    </row>
    <row r="65" spans="1:6" hidden="1">
      <c r="A65" s="140" t="s">
        <v>3191</v>
      </c>
      <c r="B65" s="2" t="s">
        <v>3116</v>
      </c>
      <c r="C65" s="2">
        <v>2021</v>
      </c>
      <c r="D65" s="124" t="s">
        <v>1072</v>
      </c>
      <c r="E65" s="2" t="s">
        <v>1456</v>
      </c>
      <c r="F65" s="2">
        <v>67.33</v>
      </c>
    </row>
    <row r="66" spans="1:6" hidden="1">
      <c r="A66" s="140" t="s">
        <v>3191</v>
      </c>
      <c r="B66" s="2" t="s">
        <v>3068</v>
      </c>
      <c r="C66" s="2">
        <v>2009</v>
      </c>
      <c r="D66" s="126" t="s">
        <v>731</v>
      </c>
      <c r="E66" s="2" t="s">
        <v>1386</v>
      </c>
      <c r="F66" s="2">
        <v>4.95</v>
      </c>
    </row>
    <row r="67" spans="1:6" hidden="1">
      <c r="A67" s="140" t="s">
        <v>3191</v>
      </c>
      <c r="B67" s="2" t="s">
        <v>3118</v>
      </c>
      <c r="C67" s="2">
        <v>2022</v>
      </c>
      <c r="D67" s="124" t="s">
        <v>1105</v>
      </c>
      <c r="E67" s="2" t="s">
        <v>1305</v>
      </c>
      <c r="F67" s="2">
        <v>9.0500000000000007</v>
      </c>
    </row>
    <row r="68" spans="1:6" hidden="1">
      <c r="A68" s="140" t="s">
        <v>3191</v>
      </c>
      <c r="B68" s="2" t="s">
        <v>2999</v>
      </c>
      <c r="C68" s="2">
        <v>1999</v>
      </c>
      <c r="D68" s="124" t="s">
        <v>467</v>
      </c>
      <c r="E68" s="2" t="s">
        <v>2656</v>
      </c>
      <c r="F68" s="2">
        <v>10</v>
      </c>
    </row>
    <row r="69" spans="1:6" hidden="1">
      <c r="A69" s="140" t="s">
        <v>3191</v>
      </c>
      <c r="B69" s="2" t="s">
        <v>3017</v>
      </c>
      <c r="C69" s="2">
        <v>2001</v>
      </c>
      <c r="D69" s="124" t="s">
        <v>3215</v>
      </c>
      <c r="E69" s="2" t="s">
        <v>1325</v>
      </c>
      <c r="F69" s="2">
        <v>88</v>
      </c>
    </row>
    <row r="70" spans="1:6" hidden="1">
      <c r="A70" s="140" t="s">
        <v>3191</v>
      </c>
      <c r="B70" s="2" t="s">
        <v>3124</v>
      </c>
      <c r="C70" s="2">
        <v>2014</v>
      </c>
      <c r="D70" s="124" t="s">
        <v>872</v>
      </c>
      <c r="E70" s="2" t="s">
        <v>1325</v>
      </c>
      <c r="F70" s="2">
        <v>22.04</v>
      </c>
    </row>
    <row r="71" spans="1:6" hidden="1">
      <c r="A71" s="140" t="s">
        <v>3191</v>
      </c>
      <c r="B71" s="2" t="s">
        <v>3035</v>
      </c>
      <c r="C71" s="2">
        <v>2002</v>
      </c>
      <c r="D71" s="124" t="s">
        <v>543</v>
      </c>
      <c r="E71" s="2" t="s">
        <v>1351</v>
      </c>
      <c r="F71" s="2">
        <v>7</v>
      </c>
    </row>
    <row r="72" spans="1:6" hidden="1">
      <c r="A72" s="140" t="s">
        <v>3191</v>
      </c>
      <c r="B72" s="2" t="s">
        <v>3002</v>
      </c>
      <c r="C72" s="2">
        <v>2000</v>
      </c>
      <c r="D72" s="124" t="s">
        <v>486</v>
      </c>
      <c r="E72" s="2" t="s">
        <v>2717</v>
      </c>
      <c r="F72" s="2">
        <v>50</v>
      </c>
    </row>
    <row r="73" spans="1:6" hidden="1">
      <c r="A73" s="140" t="s">
        <v>3191</v>
      </c>
      <c r="B73" s="2" t="s">
        <v>3020</v>
      </c>
      <c r="C73" s="2">
        <v>2001</v>
      </c>
      <c r="D73" s="124" t="s">
        <v>514</v>
      </c>
      <c r="E73" s="2" t="s">
        <v>2720</v>
      </c>
      <c r="F73" s="2">
        <v>26</v>
      </c>
    </row>
    <row r="74" spans="1:6" hidden="1">
      <c r="A74" s="140" t="s">
        <v>3191</v>
      </c>
      <c r="B74" s="2" t="s">
        <v>3015</v>
      </c>
      <c r="C74" s="2">
        <v>2005</v>
      </c>
      <c r="D74" s="124" t="s">
        <v>3216</v>
      </c>
      <c r="E74" s="2" t="s">
        <v>1173</v>
      </c>
      <c r="F74" s="2" t="s">
        <v>613</v>
      </c>
    </row>
    <row r="75" spans="1:6" hidden="1">
      <c r="A75" s="140" t="s">
        <v>3191</v>
      </c>
      <c r="B75" s="2" t="s">
        <v>3100</v>
      </c>
      <c r="C75" s="2">
        <v>2012</v>
      </c>
      <c r="D75" s="124" t="s">
        <v>824</v>
      </c>
      <c r="E75" s="2" t="s">
        <v>1222</v>
      </c>
      <c r="F75" s="2">
        <v>13.46</v>
      </c>
    </row>
    <row r="76" spans="1:6" hidden="1">
      <c r="A76" s="140" t="s">
        <v>3191</v>
      </c>
      <c r="B76" s="149" t="s">
        <v>3217</v>
      </c>
      <c r="C76" s="149">
        <v>2024</v>
      </c>
      <c r="D76" s="6" t="s">
        <v>1224</v>
      </c>
      <c r="E76" s="2" t="s">
        <v>1222</v>
      </c>
      <c r="F76" s="150">
        <v>46.65</v>
      </c>
    </row>
    <row r="77" spans="1:6" hidden="1">
      <c r="A77" s="140" t="s">
        <v>3191</v>
      </c>
      <c r="B77" s="2" t="s">
        <v>3096</v>
      </c>
      <c r="C77" s="2">
        <v>2012</v>
      </c>
      <c r="D77" s="124" t="s">
        <v>827</v>
      </c>
      <c r="E77" s="2" t="s">
        <v>1222</v>
      </c>
      <c r="F77" s="2">
        <v>155.15</v>
      </c>
    </row>
    <row r="78" spans="1:6" hidden="1">
      <c r="A78" s="140" t="s">
        <v>3191</v>
      </c>
      <c r="B78" s="2" t="s">
        <v>3070</v>
      </c>
      <c r="C78" s="2">
        <v>2009</v>
      </c>
      <c r="D78" s="124" t="s">
        <v>728</v>
      </c>
      <c r="E78" s="2" t="s">
        <v>1222</v>
      </c>
      <c r="F78" s="2">
        <v>100</v>
      </c>
    </row>
    <row r="79" spans="1:6" hidden="1">
      <c r="A79" s="140" t="s">
        <v>3191</v>
      </c>
      <c r="B79" s="2" t="s">
        <v>3098</v>
      </c>
      <c r="C79" s="2">
        <v>2012</v>
      </c>
      <c r="D79" s="124" t="s">
        <v>836</v>
      </c>
      <c r="E79" s="2" t="s">
        <v>1222</v>
      </c>
      <c r="F79" s="2">
        <v>201.54</v>
      </c>
    </row>
    <row r="80" spans="1:6" hidden="1">
      <c r="A80" s="140" t="s">
        <v>3191</v>
      </c>
      <c r="B80" s="2" t="s">
        <v>3080</v>
      </c>
      <c r="C80" s="2">
        <v>2010</v>
      </c>
      <c r="D80" s="124" t="s">
        <v>749</v>
      </c>
      <c r="E80" s="2" t="s">
        <v>1222</v>
      </c>
      <c r="F80" s="2">
        <v>15.7</v>
      </c>
    </row>
    <row r="81" spans="1:8" hidden="1">
      <c r="A81" s="140" t="s">
        <v>3191</v>
      </c>
      <c r="B81" s="2" t="s">
        <v>3086</v>
      </c>
      <c r="C81" s="2">
        <v>2011</v>
      </c>
      <c r="D81" s="124" t="s">
        <v>786</v>
      </c>
      <c r="E81" s="2" t="s">
        <v>1222</v>
      </c>
      <c r="F81" s="2">
        <v>3.64</v>
      </c>
    </row>
    <row r="82" spans="1:8" hidden="1">
      <c r="A82" s="140" t="s">
        <v>3191</v>
      </c>
      <c r="B82" s="2" t="s">
        <v>3052</v>
      </c>
      <c r="C82" s="2">
        <v>2008</v>
      </c>
      <c r="D82" s="124" t="s">
        <v>3218</v>
      </c>
      <c r="E82" s="2" t="s">
        <v>1222</v>
      </c>
      <c r="F82" s="2">
        <v>126.5</v>
      </c>
    </row>
    <row r="83" spans="1:8" hidden="1">
      <c r="A83" s="140" t="s">
        <v>3191</v>
      </c>
      <c r="B83" s="2" t="s">
        <v>3120</v>
      </c>
      <c r="C83" s="2">
        <v>2018</v>
      </c>
      <c r="D83" s="146" t="s">
        <v>974</v>
      </c>
      <c r="E83" s="2" t="s">
        <v>2872</v>
      </c>
      <c r="F83" s="2">
        <v>36.06</v>
      </c>
    </row>
    <row r="87" spans="1:8" ht="15.75" thickBot="1">
      <c r="A87" s="137" t="s">
        <v>3188</v>
      </c>
      <c r="B87" s="138" t="s">
        <v>3189</v>
      </c>
      <c r="C87" s="138" t="s">
        <v>3178</v>
      </c>
      <c r="D87" s="138" t="s">
        <v>3190</v>
      </c>
      <c r="E87" s="138" t="s">
        <v>1272</v>
      </c>
      <c r="F87" s="139" t="s">
        <v>1396</v>
      </c>
      <c r="G87" s="138" t="s">
        <v>3219</v>
      </c>
      <c r="H87" s="138" t="s">
        <v>165</v>
      </c>
    </row>
    <row r="88" spans="1:8" ht="15.75" thickTop="1">
      <c r="A88" s="140" t="s">
        <v>3220</v>
      </c>
      <c r="B88" s="2" t="s">
        <v>3024</v>
      </c>
      <c r="C88" s="2">
        <v>2012</v>
      </c>
      <c r="D88" s="23" t="s">
        <v>842</v>
      </c>
      <c r="E88" s="2" t="s">
        <v>1600</v>
      </c>
      <c r="F88" s="2">
        <v>10.57</v>
      </c>
      <c r="G88" s="2" t="s">
        <v>3221</v>
      </c>
      <c r="H88" s="2" t="s">
        <v>180</v>
      </c>
    </row>
    <row r="89" spans="1:8">
      <c r="A89" s="140" t="s">
        <v>3220</v>
      </c>
      <c r="B89" s="142" t="s">
        <v>3009</v>
      </c>
      <c r="C89" s="142">
        <v>2022</v>
      </c>
      <c r="D89" s="182" t="s">
        <v>1114</v>
      </c>
      <c r="E89" s="142" t="s">
        <v>1640</v>
      </c>
      <c r="F89" s="2">
        <v>10.73</v>
      </c>
      <c r="G89" s="2" t="s">
        <v>319</v>
      </c>
      <c r="H89" s="2" t="s">
        <v>180</v>
      </c>
    </row>
    <row r="90" spans="1:8">
      <c r="A90" s="140" t="s">
        <v>3220</v>
      </c>
      <c r="B90" s="2" t="s">
        <v>3018</v>
      </c>
      <c r="C90" s="2">
        <v>2011</v>
      </c>
      <c r="D90" s="23" t="s">
        <v>789</v>
      </c>
      <c r="E90" s="2" t="s">
        <v>1640</v>
      </c>
      <c r="F90" s="2">
        <v>15</v>
      </c>
      <c r="G90" s="2" t="s">
        <v>3222</v>
      </c>
      <c r="H90" s="2" t="s">
        <v>180</v>
      </c>
    </row>
    <row r="91" spans="1:8">
      <c r="A91" s="140" t="s">
        <v>3220</v>
      </c>
      <c r="B91" s="142" t="s">
        <v>3012</v>
      </c>
      <c r="C91" s="142">
        <v>2021</v>
      </c>
      <c r="D91" s="182" t="s">
        <v>1079</v>
      </c>
      <c r="E91" s="142" t="s">
        <v>3223</v>
      </c>
      <c r="F91" s="2">
        <v>18</v>
      </c>
      <c r="G91" s="2" t="s">
        <v>319</v>
      </c>
      <c r="H91" s="2" t="s">
        <v>180</v>
      </c>
    </row>
    <row r="92" spans="1:8">
      <c r="A92" s="140" t="s">
        <v>3220</v>
      </c>
      <c r="B92" s="142" t="s">
        <v>3006</v>
      </c>
      <c r="C92" s="132">
        <v>2014</v>
      </c>
      <c r="D92" s="141" t="s">
        <v>882</v>
      </c>
      <c r="E92" s="142" t="s">
        <v>1806</v>
      </c>
      <c r="F92" s="2">
        <v>4987.1499999999996</v>
      </c>
      <c r="G92" s="2" t="s">
        <v>3224</v>
      </c>
      <c r="H92" s="2" t="s">
        <v>180</v>
      </c>
    </row>
    <row r="93" spans="1:8">
      <c r="A93" s="140" t="s">
        <v>3220</v>
      </c>
      <c r="B93" s="142" t="s">
        <v>3003</v>
      </c>
      <c r="C93" s="142">
        <v>2019</v>
      </c>
      <c r="D93" s="142" t="s">
        <v>1029</v>
      </c>
      <c r="E93" s="142" t="s">
        <v>916</v>
      </c>
      <c r="F93" s="2">
        <v>15.823</v>
      </c>
      <c r="G93" s="2" t="s">
        <v>319</v>
      </c>
      <c r="H93" s="2" t="s">
        <v>180</v>
      </c>
    </row>
    <row r="94" spans="1:8">
      <c r="A94" s="140" t="s">
        <v>3220</v>
      </c>
      <c r="B94" s="2" t="s">
        <v>3021</v>
      </c>
      <c r="C94" s="2">
        <v>2012</v>
      </c>
      <c r="D94" s="23" t="s">
        <v>846</v>
      </c>
      <c r="E94" s="2" t="s">
        <v>2251</v>
      </c>
      <c r="F94" s="2">
        <v>130.47</v>
      </c>
      <c r="G94" s="2" t="s">
        <v>3225</v>
      </c>
      <c r="H94" s="2" t="s">
        <v>180</v>
      </c>
    </row>
    <row r="95" spans="1:8">
      <c r="A95" s="140" t="s">
        <v>3220</v>
      </c>
      <c r="B95" s="2" t="s">
        <v>2994</v>
      </c>
      <c r="C95" s="2">
        <v>2022</v>
      </c>
      <c r="D95" s="23" t="s">
        <v>1108</v>
      </c>
      <c r="E95" s="2" t="s">
        <v>574</v>
      </c>
      <c r="F95" s="2">
        <v>18.635999999999999</v>
      </c>
      <c r="G95" s="2" t="s">
        <v>319</v>
      </c>
      <c r="H95" s="2" t="s">
        <v>180</v>
      </c>
    </row>
    <row r="96" spans="1:8">
      <c r="A96" s="140" t="s">
        <v>3220</v>
      </c>
      <c r="B96" s="2" t="s">
        <v>2997</v>
      </c>
      <c r="C96" s="2">
        <v>2022</v>
      </c>
      <c r="D96" s="23" t="s">
        <v>1117</v>
      </c>
      <c r="E96" s="2" t="s">
        <v>2296</v>
      </c>
      <c r="F96" s="2">
        <v>2.09</v>
      </c>
      <c r="G96" s="2" t="s">
        <v>319</v>
      </c>
      <c r="H96" s="2" t="s">
        <v>180</v>
      </c>
    </row>
    <row r="97" spans="1:12">
      <c r="A97" s="140" t="s">
        <v>3220</v>
      </c>
      <c r="B97" s="2" t="s">
        <v>3000</v>
      </c>
      <c r="C97" s="2">
        <v>2016</v>
      </c>
      <c r="D97" s="23" t="s">
        <v>930</v>
      </c>
      <c r="E97" s="2" t="s">
        <v>2314</v>
      </c>
      <c r="F97" s="2">
        <v>0.78</v>
      </c>
      <c r="G97" s="2" t="s">
        <v>319</v>
      </c>
      <c r="H97" s="2" t="s">
        <v>180</v>
      </c>
    </row>
    <row r="98" spans="1:12">
      <c r="A98" s="140" t="s">
        <v>3220</v>
      </c>
      <c r="B98" s="2" t="s">
        <v>2985</v>
      </c>
      <c r="C98" s="2">
        <v>2017</v>
      </c>
      <c r="D98" s="23" t="s">
        <v>946</v>
      </c>
      <c r="E98" s="2" t="s">
        <v>2405</v>
      </c>
      <c r="F98" s="2">
        <v>12.866</v>
      </c>
      <c r="G98" s="2" t="s">
        <v>319</v>
      </c>
      <c r="H98" s="2" t="s">
        <v>180</v>
      </c>
    </row>
    <row r="99" spans="1:12">
      <c r="A99" s="140" t="s">
        <v>3220</v>
      </c>
      <c r="B99" s="2" t="s">
        <v>2982</v>
      </c>
      <c r="C99" s="2">
        <v>2019</v>
      </c>
      <c r="D99" s="23" t="s">
        <v>949</v>
      </c>
      <c r="E99" s="2" t="s">
        <v>2405</v>
      </c>
      <c r="F99" s="2">
        <v>5</v>
      </c>
      <c r="G99" s="2" t="s">
        <v>319</v>
      </c>
      <c r="H99" s="2" t="s">
        <v>180</v>
      </c>
    </row>
    <row r="100" spans="1:12">
      <c r="A100" s="140" t="s">
        <v>3220</v>
      </c>
      <c r="B100" s="2" t="s">
        <v>2988</v>
      </c>
      <c r="C100" s="2">
        <v>2020</v>
      </c>
      <c r="D100" s="23" t="s">
        <v>1046</v>
      </c>
      <c r="E100" s="2" t="s">
        <v>2433</v>
      </c>
      <c r="F100" s="2">
        <v>6.577</v>
      </c>
      <c r="G100" s="2" t="s">
        <v>319</v>
      </c>
      <c r="H100" s="2" t="s">
        <v>180</v>
      </c>
    </row>
    <row r="101" spans="1:12">
      <c r="A101" s="140" t="s">
        <v>3220</v>
      </c>
      <c r="B101" s="2" t="s">
        <v>2991</v>
      </c>
      <c r="C101" s="2">
        <v>2020</v>
      </c>
      <c r="D101" s="23" t="s">
        <v>1042</v>
      </c>
      <c r="E101" s="2" t="s">
        <v>1416</v>
      </c>
      <c r="F101" s="2">
        <v>1.57</v>
      </c>
      <c r="G101" s="2" t="s">
        <v>319</v>
      </c>
      <c r="H101" s="2" t="s">
        <v>180</v>
      </c>
    </row>
    <row r="102" spans="1:12">
      <c r="A102" s="140" t="s">
        <v>3220</v>
      </c>
      <c r="B102" s="22" t="s">
        <v>3226</v>
      </c>
      <c r="C102" s="22">
        <v>2019</v>
      </c>
      <c r="D102" s="22" t="s">
        <v>3227</v>
      </c>
      <c r="E102" s="22" t="s">
        <v>3228</v>
      </c>
      <c r="F102" s="22"/>
      <c r="G102" s="179" t="s">
        <v>319</v>
      </c>
      <c r="H102" s="179" t="s">
        <v>180</v>
      </c>
      <c r="L102">
        <v>0</v>
      </c>
    </row>
    <row r="103" spans="1:12">
      <c r="A103" s="140" t="s">
        <v>3220</v>
      </c>
      <c r="B103" s="2" t="s">
        <v>2976</v>
      </c>
      <c r="C103" s="2">
        <v>2019</v>
      </c>
      <c r="D103" s="23" t="s">
        <v>1032</v>
      </c>
      <c r="E103" s="2" t="s">
        <v>2539</v>
      </c>
      <c r="F103" s="2">
        <v>0.7</v>
      </c>
      <c r="G103" s="2" t="s">
        <v>319</v>
      </c>
      <c r="H103" s="2" t="s">
        <v>180</v>
      </c>
    </row>
    <row r="104" spans="1:12">
      <c r="A104" s="140" t="s">
        <v>3220</v>
      </c>
      <c r="B104" s="2" t="s">
        <v>3229</v>
      </c>
      <c r="C104" s="2">
        <v>2019</v>
      </c>
      <c r="D104" s="2" t="s">
        <v>3230</v>
      </c>
      <c r="E104" s="2" t="s">
        <v>2670</v>
      </c>
      <c r="F104" s="2" t="s">
        <v>3231</v>
      </c>
      <c r="G104" s="179" t="s">
        <v>319</v>
      </c>
      <c r="H104" s="179" t="s">
        <v>180</v>
      </c>
    </row>
    <row r="105" spans="1:12">
      <c r="A105" s="140" t="s">
        <v>3220</v>
      </c>
      <c r="B105" s="2" t="s">
        <v>2979</v>
      </c>
      <c r="C105" s="2">
        <v>2022</v>
      </c>
      <c r="D105" s="23" t="s">
        <v>1111</v>
      </c>
      <c r="E105" s="2" t="s">
        <v>2539</v>
      </c>
      <c r="F105" s="2">
        <v>5.0599999999999996</v>
      </c>
      <c r="G105" s="2" t="s">
        <v>319</v>
      </c>
      <c r="H105" s="2" t="s">
        <v>180</v>
      </c>
    </row>
    <row r="106" spans="1:12">
      <c r="A106" s="140" t="s">
        <v>3220</v>
      </c>
      <c r="B106" s="2" t="s">
        <v>2970</v>
      </c>
      <c r="C106" s="181">
        <v>2015</v>
      </c>
      <c r="D106" s="150" t="s">
        <v>896</v>
      </c>
      <c r="E106" s="2" t="s">
        <v>1456</v>
      </c>
      <c r="F106" s="2">
        <v>12</v>
      </c>
      <c r="G106" s="2" t="s">
        <v>319</v>
      </c>
      <c r="H106" s="2" t="s">
        <v>180</v>
      </c>
    </row>
    <row r="107" spans="1:12">
      <c r="A107" s="140" t="s">
        <v>3220</v>
      </c>
      <c r="B107" s="2" t="s">
        <v>2967</v>
      </c>
      <c r="C107" s="180">
        <v>2015</v>
      </c>
      <c r="D107" s="150" t="s">
        <v>900</v>
      </c>
      <c r="E107" s="2" t="s">
        <v>1456</v>
      </c>
      <c r="F107" s="2">
        <v>18.36</v>
      </c>
      <c r="G107" s="2" t="s">
        <v>319</v>
      </c>
      <c r="H107" s="2" t="s">
        <v>180</v>
      </c>
    </row>
    <row r="108" spans="1:12">
      <c r="A108" s="140" t="s">
        <v>3220</v>
      </c>
      <c r="B108" s="2" t="s">
        <v>2964</v>
      </c>
      <c r="C108" s="2">
        <v>2022</v>
      </c>
      <c r="D108" s="23" t="s">
        <v>1125</v>
      </c>
      <c r="E108" s="2" t="s">
        <v>2600</v>
      </c>
      <c r="F108" s="2">
        <v>16.46</v>
      </c>
      <c r="G108" s="2" t="s">
        <v>319</v>
      </c>
      <c r="H108" s="2" t="s">
        <v>180</v>
      </c>
    </row>
    <row r="109" spans="1:12">
      <c r="A109" s="140" t="s">
        <v>3220</v>
      </c>
      <c r="B109" s="2" t="s">
        <v>3027</v>
      </c>
      <c r="C109" s="2">
        <v>2022</v>
      </c>
      <c r="D109" s="23" t="s">
        <v>1121</v>
      </c>
      <c r="E109" s="2" t="s">
        <v>2600</v>
      </c>
      <c r="F109" s="2">
        <v>6.6125999999999996</v>
      </c>
      <c r="G109" s="2" t="s">
        <v>319</v>
      </c>
      <c r="H109" s="2" t="s">
        <v>180</v>
      </c>
    </row>
    <row r="110" spans="1:12">
      <c r="A110" s="140" t="s">
        <v>3220</v>
      </c>
      <c r="B110" s="22" t="s">
        <v>3232</v>
      </c>
      <c r="C110" s="22">
        <v>2022</v>
      </c>
      <c r="D110" s="22" t="s">
        <v>3233</v>
      </c>
      <c r="E110" s="25" t="s">
        <v>635</v>
      </c>
      <c r="F110" s="22" t="s">
        <v>3234</v>
      </c>
      <c r="G110" s="179" t="s">
        <v>3235</v>
      </c>
      <c r="H110" s="179" t="s">
        <v>180</v>
      </c>
    </row>
    <row r="111" spans="1:12">
      <c r="A111" s="140" t="s">
        <v>3220</v>
      </c>
      <c r="B111" s="2" t="s">
        <v>2973</v>
      </c>
      <c r="C111" s="2">
        <v>2018</v>
      </c>
      <c r="D111" s="23" t="s">
        <v>985</v>
      </c>
      <c r="E111" s="2" t="s">
        <v>1305</v>
      </c>
      <c r="F111" s="2">
        <v>35.04</v>
      </c>
      <c r="G111" s="2" t="s">
        <v>319</v>
      </c>
      <c r="H111" s="2" t="s">
        <v>180</v>
      </c>
    </row>
    <row r="112" spans="1:12">
      <c r="A112" s="140" t="s">
        <v>3220</v>
      </c>
      <c r="B112" s="2" t="s">
        <v>2958</v>
      </c>
      <c r="C112" s="2">
        <v>2018</v>
      </c>
      <c r="D112" s="23" t="s">
        <v>988</v>
      </c>
      <c r="E112" s="2" t="s">
        <v>2885</v>
      </c>
      <c r="F112" s="2">
        <v>2850</v>
      </c>
      <c r="G112" s="2" t="s">
        <v>319</v>
      </c>
      <c r="H112" s="2" t="s">
        <v>180</v>
      </c>
    </row>
    <row r="113" spans="1:8">
      <c r="A113" s="140" t="s">
        <v>3220</v>
      </c>
      <c r="B113" s="2" t="s">
        <v>2955</v>
      </c>
      <c r="C113" s="2">
        <v>2018</v>
      </c>
      <c r="D113" s="23" t="s">
        <v>981</v>
      </c>
      <c r="E113" s="2" t="s">
        <v>2885</v>
      </c>
      <c r="F113" s="2">
        <v>5.58</v>
      </c>
      <c r="G113" s="2" t="s">
        <v>3235</v>
      </c>
      <c r="H113" s="2" t="s">
        <v>180</v>
      </c>
    </row>
    <row r="114" spans="1:8">
      <c r="A114" s="140" t="s">
        <v>3220</v>
      </c>
      <c r="B114" s="2" t="s">
        <v>2952</v>
      </c>
      <c r="C114" s="181">
        <v>2014</v>
      </c>
      <c r="D114" s="150" t="s">
        <v>887</v>
      </c>
      <c r="E114" s="2" t="s">
        <v>2887</v>
      </c>
      <c r="F114" s="2">
        <v>21.4</v>
      </c>
      <c r="G114" s="2" t="s">
        <v>319</v>
      </c>
      <c r="H114" s="2" t="s">
        <v>180</v>
      </c>
    </row>
    <row r="115" spans="1:8">
      <c r="A115" s="140" t="s">
        <v>3220</v>
      </c>
      <c r="B115" s="2" t="s">
        <v>2961</v>
      </c>
      <c r="C115" s="2">
        <v>2020</v>
      </c>
      <c r="D115" s="23" t="s">
        <v>1038</v>
      </c>
      <c r="E115" s="2" t="s">
        <v>2890</v>
      </c>
      <c r="F115" s="2">
        <v>16.829999999999998</v>
      </c>
      <c r="G115" s="2" t="s">
        <v>319</v>
      </c>
      <c r="H115" s="2" t="s">
        <v>180</v>
      </c>
    </row>
    <row r="118" spans="1:8">
      <c r="A118" s="273" t="s">
        <v>3236</v>
      </c>
      <c r="B118" s="273"/>
      <c r="C118" s="273"/>
      <c r="D118" s="273"/>
      <c r="E118" s="273"/>
      <c r="F118" s="273"/>
    </row>
    <row r="119" spans="1:8">
      <c r="A119" s="137" t="s">
        <v>3237</v>
      </c>
      <c r="B119" s="138" t="s">
        <v>3189</v>
      </c>
      <c r="C119" s="138" t="s">
        <v>3178</v>
      </c>
      <c r="D119" s="138" t="s">
        <v>3190</v>
      </c>
      <c r="E119" s="138" t="s">
        <v>1272</v>
      </c>
      <c r="F119" s="139" t="s">
        <v>1396</v>
      </c>
    </row>
    <row r="120" spans="1:8">
      <c r="A120" s="140"/>
      <c r="B120" s="142" t="s">
        <v>3238</v>
      </c>
      <c r="C120" s="142"/>
      <c r="D120" s="178" t="s">
        <v>3239</v>
      </c>
      <c r="E120" s="142" t="s">
        <v>385</v>
      </c>
      <c r="F120" s="144">
        <v>0.73</v>
      </c>
    </row>
    <row r="121" spans="1:8">
      <c r="A121" s="140"/>
      <c r="B121" s="23" t="s">
        <v>3032</v>
      </c>
      <c r="C121" s="142"/>
      <c r="D121" s="178" t="s">
        <v>3240</v>
      </c>
      <c r="E121" s="142" t="s">
        <v>380</v>
      </c>
      <c r="F121" s="144">
        <v>28.7</v>
      </c>
    </row>
    <row r="122" spans="1:8">
      <c r="A122" s="140"/>
      <c r="B122" s="142" t="s">
        <v>3241</v>
      </c>
      <c r="C122" s="142"/>
      <c r="D122" s="178" t="s">
        <v>3242</v>
      </c>
      <c r="E122" s="142" t="s">
        <v>117</v>
      </c>
      <c r="F122" s="144">
        <v>17</v>
      </c>
    </row>
    <row r="123" spans="1:8">
      <c r="A123" s="140"/>
      <c r="B123" s="142" t="s">
        <v>3243</v>
      </c>
      <c r="C123" s="142"/>
      <c r="D123" s="183" t="s">
        <v>3244</v>
      </c>
      <c r="E123" s="142" t="s">
        <v>1351</v>
      </c>
      <c r="F123" s="144">
        <v>80</v>
      </c>
    </row>
    <row r="124" spans="1:8">
      <c r="A124" s="140"/>
      <c r="B124" s="23" t="s">
        <v>3245</v>
      </c>
      <c r="C124" s="142"/>
      <c r="D124" s="183" t="s">
        <v>3246</v>
      </c>
      <c r="E124" s="142" t="s">
        <v>2309</v>
      </c>
      <c r="F124" s="144">
        <v>24.81</v>
      </c>
    </row>
    <row r="125" spans="1:8">
      <c r="A125" s="140"/>
      <c r="B125" s="23" t="s">
        <v>3247</v>
      </c>
      <c r="C125" s="142"/>
      <c r="D125" s="183" t="s">
        <v>3248</v>
      </c>
      <c r="E125" s="142" t="s">
        <v>815</v>
      </c>
      <c r="F125" s="144">
        <v>4.8600000000000003</v>
      </c>
    </row>
    <row r="126" spans="1:8">
      <c r="A126" s="140"/>
      <c r="B126" s="23" t="s">
        <v>3249</v>
      </c>
      <c r="C126" s="142"/>
      <c r="D126" s="183" t="s">
        <v>3250</v>
      </c>
      <c r="E126" s="142" t="s">
        <v>574</v>
      </c>
      <c r="F126" s="144">
        <v>1.94</v>
      </c>
    </row>
    <row r="127" spans="1:8">
      <c r="A127" s="140"/>
      <c r="B127" s="23" t="s">
        <v>3251</v>
      </c>
      <c r="C127" s="142"/>
      <c r="D127" s="183" t="s">
        <v>3252</v>
      </c>
      <c r="E127" s="142" t="s">
        <v>1837</v>
      </c>
      <c r="F127" s="144" t="s">
        <v>3253</v>
      </c>
    </row>
    <row r="128" spans="1:8">
      <c r="A128" s="140"/>
      <c r="B128" s="23" t="s">
        <v>3251</v>
      </c>
      <c r="C128" s="142"/>
      <c r="D128" s="183" t="s">
        <v>3254</v>
      </c>
      <c r="E128" s="142" t="s">
        <v>1173</v>
      </c>
      <c r="F128" s="144">
        <v>38</v>
      </c>
    </row>
    <row r="129" spans="1:6">
      <c r="A129" s="140"/>
      <c r="B129" s="23" t="s">
        <v>3251</v>
      </c>
      <c r="C129" s="142"/>
      <c r="D129" s="183" t="s">
        <v>3255</v>
      </c>
      <c r="E129" s="142" t="s">
        <v>1640</v>
      </c>
      <c r="F129" s="144">
        <v>443.9</v>
      </c>
    </row>
    <row r="130" spans="1:6">
      <c r="A130" s="140"/>
      <c r="B130" s="23" t="s">
        <v>3251</v>
      </c>
      <c r="C130" s="142"/>
      <c r="D130" s="183" t="s">
        <v>3256</v>
      </c>
      <c r="E130" s="142" t="s">
        <v>916</v>
      </c>
      <c r="F130" s="144">
        <v>27.6</v>
      </c>
    </row>
    <row r="131" spans="1:6">
      <c r="A131" s="140"/>
      <c r="B131" s="23" t="s">
        <v>3251</v>
      </c>
      <c r="C131" s="142"/>
      <c r="D131" s="183" t="s">
        <v>3257</v>
      </c>
      <c r="E131" s="142" t="s">
        <v>2656</v>
      </c>
      <c r="F131" s="144" t="s">
        <v>3253</v>
      </c>
    </row>
    <row r="132" spans="1:6">
      <c r="A132" s="140"/>
      <c r="B132" s="23" t="s">
        <v>3251</v>
      </c>
      <c r="C132" s="142"/>
      <c r="D132" s="183" t="s">
        <v>3258</v>
      </c>
      <c r="E132" s="142" t="s">
        <v>2338</v>
      </c>
      <c r="F132" s="144">
        <v>32</v>
      </c>
    </row>
    <row r="133" spans="1:6">
      <c r="B133" s="23" t="s">
        <v>3251</v>
      </c>
      <c r="D133" s="183" t="s">
        <v>3259</v>
      </c>
      <c r="E133" s="1" t="s">
        <v>574</v>
      </c>
      <c r="F133" s="1">
        <v>1</v>
      </c>
    </row>
    <row r="134" spans="1:6">
      <c r="B134" s="23" t="s">
        <v>3251</v>
      </c>
      <c r="D134" s="183" t="s">
        <v>3260</v>
      </c>
      <c r="E134" s="1" t="s">
        <v>574</v>
      </c>
      <c r="F134" s="1">
        <v>2.75</v>
      </c>
    </row>
    <row r="135" spans="1:6">
      <c r="B135" s="23" t="s">
        <v>3261</v>
      </c>
      <c r="D135" s="183" t="s">
        <v>3262</v>
      </c>
      <c r="E135" s="1" t="s">
        <v>1383</v>
      </c>
      <c r="F135" s="1">
        <v>1154.48</v>
      </c>
    </row>
    <row r="136" spans="1:6">
      <c r="B136" s="23" t="s">
        <v>3263</v>
      </c>
      <c r="D136" s="183" t="s">
        <v>3262</v>
      </c>
      <c r="E136" s="1" t="s">
        <v>3264</v>
      </c>
      <c r="F136" s="1">
        <v>6.2</v>
      </c>
    </row>
    <row r="137" spans="1:6">
      <c r="B137" s="23" t="s">
        <v>3265</v>
      </c>
      <c r="D137" s="183" t="s">
        <v>3262</v>
      </c>
      <c r="E137" s="1" t="s">
        <v>1325</v>
      </c>
      <c r="F137" s="1">
        <v>800</v>
      </c>
    </row>
    <row r="138" spans="1:6">
      <c r="B138" s="23" t="s">
        <v>3266</v>
      </c>
      <c r="D138" s="183" t="s">
        <v>3262</v>
      </c>
      <c r="E138" s="1" t="s">
        <v>574</v>
      </c>
      <c r="F138" s="1">
        <v>1200</v>
      </c>
    </row>
    <row r="139" spans="1:6">
      <c r="B139" s="23" t="s">
        <v>1369</v>
      </c>
      <c r="D139" t="s">
        <v>3253</v>
      </c>
      <c r="E139" s="1" t="s">
        <v>1369</v>
      </c>
      <c r="F139" s="1">
        <v>88</v>
      </c>
    </row>
    <row r="140" spans="1:6">
      <c r="B140" s="23" t="s">
        <v>3267</v>
      </c>
      <c r="D140" s="183" t="s">
        <v>3262</v>
      </c>
      <c r="E140" s="1" t="s">
        <v>2061</v>
      </c>
      <c r="F140" s="1">
        <v>6.73</v>
      </c>
    </row>
    <row r="141" spans="1:6">
      <c r="B141" s="23" t="s">
        <v>3268</v>
      </c>
      <c r="D141" s="183" t="s">
        <v>3262</v>
      </c>
      <c r="E141" s="1" t="s">
        <v>1305</v>
      </c>
      <c r="F141" s="1">
        <v>9</v>
      </c>
    </row>
    <row r="142" spans="1:6">
      <c r="B142" s="23" t="s">
        <v>1593</v>
      </c>
      <c r="D142" s="183" t="s">
        <v>3262</v>
      </c>
      <c r="E142" s="1" t="s">
        <v>1593</v>
      </c>
      <c r="F142" s="1">
        <v>60</v>
      </c>
    </row>
  </sheetData>
  <mergeCells count="1">
    <mergeCell ref="A118:F118"/>
  </mergeCells>
  <hyperlinks>
    <hyperlink ref="D2" r:id="rId1" xr:uid="{00000000-0004-0000-0400-000000000000}"/>
    <hyperlink ref="D8" r:id="rId2" xr:uid="{00000000-0004-0000-0400-000001000000}"/>
    <hyperlink ref="D9" r:id="rId3" xr:uid="{00000000-0004-0000-0400-000002000000}"/>
    <hyperlink ref="D10" r:id="rId4" xr:uid="{00000000-0004-0000-0400-000003000000}"/>
    <hyperlink ref="D41" r:id="rId5" xr:uid="{00000000-0004-0000-0400-000004000000}"/>
    <hyperlink ref="D47" r:id="rId6" xr:uid="{00000000-0004-0000-0400-000005000000}"/>
    <hyperlink ref="D39" r:id="rId7" xr:uid="{00000000-0004-0000-0400-000006000000}"/>
    <hyperlink ref="D48" r:id="rId8" xr:uid="{00000000-0004-0000-0400-000007000000}"/>
    <hyperlink ref="D43" r:id="rId9" xr:uid="{00000000-0004-0000-0400-000008000000}"/>
    <hyperlink ref="D46" r:id="rId10" xr:uid="{00000000-0004-0000-0400-000009000000}"/>
    <hyperlink ref="D40" r:id="rId11" xr:uid="{00000000-0004-0000-0400-00000A000000}"/>
    <hyperlink ref="D42" r:id="rId12" xr:uid="{00000000-0004-0000-0400-00000B000000}"/>
    <hyperlink ref="D66" r:id="rId13" xr:uid="{00000000-0004-0000-0400-00000C000000}"/>
  </hyperlinks>
  <pageMargins left="0.7" right="0.7" top="0.75" bottom="0.75" header="0.3" footer="0.3"/>
  <tableParts count="3">
    <tablePart r:id="rId14"/>
    <tablePart r:id="rId15"/>
    <tablePart r:id="rId1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2"/>
  <sheetViews>
    <sheetView topLeftCell="A15" workbookViewId="0">
      <selection activeCell="A34" sqref="A34"/>
    </sheetView>
  </sheetViews>
  <sheetFormatPr defaultRowHeight="15"/>
  <cols>
    <col min="1" max="1" width="128" customWidth="1"/>
    <col min="3" max="3" width="17.140625" customWidth="1"/>
    <col min="4" max="4" width="20.140625" customWidth="1"/>
  </cols>
  <sheetData>
    <row r="1" spans="1:1">
      <c r="A1" t="s">
        <v>3269</v>
      </c>
    </row>
    <row r="3" spans="1:1">
      <c r="A3" s="39" t="s">
        <v>3270</v>
      </c>
    </row>
    <row r="4" spans="1:1">
      <c r="A4" s="39" t="s">
        <v>3271</v>
      </c>
    </row>
    <row r="5" spans="1:1">
      <c r="A5" s="39" t="s">
        <v>3272</v>
      </c>
    </row>
    <row r="6" spans="1:1">
      <c r="A6" s="39" t="s">
        <v>3273</v>
      </c>
    </row>
    <row r="7" spans="1:1">
      <c r="A7" s="39" t="s">
        <v>3274</v>
      </c>
    </row>
    <row r="8" spans="1:1">
      <c r="A8" s="39" t="s">
        <v>3275</v>
      </c>
    </row>
    <row r="9" spans="1:1">
      <c r="A9" s="39" t="s">
        <v>3276</v>
      </c>
    </row>
    <row r="10" spans="1:1">
      <c r="A10" s="39" t="s">
        <v>3277</v>
      </c>
    </row>
    <row r="11" spans="1:1">
      <c r="A11" s="39" t="s">
        <v>3278</v>
      </c>
    </row>
    <row r="12" spans="1:1">
      <c r="A12" s="39" t="s">
        <v>3279</v>
      </c>
    </row>
    <row r="13" spans="1:1">
      <c r="A13" s="39" t="s">
        <v>3280</v>
      </c>
    </row>
    <row r="14" spans="1:1">
      <c r="A14" s="39" t="s">
        <v>3281</v>
      </c>
    </row>
    <row r="15" spans="1:1">
      <c r="A15" s="39" t="s">
        <v>3282</v>
      </c>
    </row>
    <row r="16" spans="1:1">
      <c r="A16" s="39" t="s">
        <v>3283</v>
      </c>
    </row>
    <row r="17" spans="1:8">
      <c r="A17" s="39" t="s">
        <v>3284</v>
      </c>
    </row>
    <row r="18" spans="1:8">
      <c r="A18" s="39" t="s">
        <v>3285</v>
      </c>
    </row>
    <row r="19" spans="1:8">
      <c r="A19" s="39" t="s">
        <v>3286</v>
      </c>
    </row>
    <row r="20" spans="1:8">
      <c r="A20" s="164" t="s">
        <v>3287</v>
      </c>
    </row>
    <row r="21" spans="1:8">
      <c r="A21" s="151" t="s">
        <v>3288</v>
      </c>
      <c r="B21" t="s">
        <v>3289</v>
      </c>
      <c r="C21" t="s">
        <v>3290</v>
      </c>
      <c r="D21" s="165" t="s">
        <v>3291</v>
      </c>
    </row>
    <row r="22" spans="1:8">
      <c r="A22" s="39" t="s">
        <v>3292</v>
      </c>
    </row>
    <row r="23" spans="1:8">
      <c r="A23" s="39" t="s">
        <v>3293</v>
      </c>
    </row>
    <row r="24" spans="1:8">
      <c r="A24" s="39" t="s">
        <v>3294</v>
      </c>
    </row>
    <row r="25" spans="1:8">
      <c r="A25" s="164" t="s">
        <v>3295</v>
      </c>
      <c r="B25" t="s">
        <v>3296</v>
      </c>
    </row>
    <row r="26" spans="1:8">
      <c r="A26" s="151" t="s">
        <v>651</v>
      </c>
      <c r="G26" t="s">
        <v>3297</v>
      </c>
      <c r="H26" s="165" t="s">
        <v>3298</v>
      </c>
    </row>
    <row r="27" spans="1:8">
      <c r="A27" s="39" t="s">
        <v>3299</v>
      </c>
    </row>
    <row r="28" spans="1:8">
      <c r="A28" s="39" t="s">
        <v>1166</v>
      </c>
    </row>
    <row r="29" spans="1:8">
      <c r="A29" s="39" t="s">
        <v>3300</v>
      </c>
    </row>
    <row r="30" spans="1:8">
      <c r="A30" s="39" t="s">
        <v>3301</v>
      </c>
    </row>
    <row r="31" spans="1:8">
      <c r="A31" s="39" t="s">
        <v>3272</v>
      </c>
    </row>
    <row r="32" spans="1:8">
      <c r="A32" s="39" t="s">
        <v>3302</v>
      </c>
    </row>
  </sheetData>
  <hyperlinks>
    <hyperlink ref="A3" r:id="rId1" xr:uid="{00000000-0004-0000-0C00-000000000000}"/>
    <hyperlink ref="A4" r:id="rId2" xr:uid="{00000000-0004-0000-0C00-000001000000}"/>
    <hyperlink ref="A5" r:id="rId3" xr:uid="{00000000-0004-0000-0C00-000002000000}"/>
    <hyperlink ref="A6" r:id="rId4" xr:uid="{00000000-0004-0000-0C00-000003000000}"/>
    <hyperlink ref="A7" r:id="rId5" xr:uid="{00000000-0004-0000-0C00-000004000000}"/>
    <hyperlink ref="A8" r:id="rId6" xr:uid="{00000000-0004-0000-0C00-000005000000}"/>
    <hyperlink ref="A9" r:id="rId7" xr:uid="{00000000-0004-0000-0C00-000006000000}"/>
    <hyperlink ref="A10" r:id="rId8" xr:uid="{00000000-0004-0000-0C00-000007000000}"/>
    <hyperlink ref="A11" r:id="rId9" xr:uid="{00000000-0004-0000-0C00-000008000000}"/>
    <hyperlink ref="A12" r:id="rId10" xr:uid="{00000000-0004-0000-0C00-000009000000}"/>
    <hyperlink ref="A13" r:id="rId11" xr:uid="{00000000-0004-0000-0C00-00000A000000}"/>
    <hyperlink ref="A14" r:id="rId12" xr:uid="{00000000-0004-0000-0C00-00000B000000}"/>
    <hyperlink ref="A15" r:id="rId13" xr:uid="{00000000-0004-0000-0C00-00000C000000}"/>
    <hyperlink ref="A16" r:id="rId14" xr:uid="{00000000-0004-0000-0C00-00000D000000}"/>
    <hyperlink ref="A17" r:id="rId15" xr:uid="{00000000-0004-0000-0C00-00000E000000}"/>
    <hyperlink ref="A18" r:id="rId16" xr:uid="{00000000-0004-0000-0C00-00000F000000}"/>
    <hyperlink ref="A19" r:id="rId17" xr:uid="{00000000-0004-0000-0C00-000010000000}"/>
    <hyperlink ref="A20" r:id="rId18" xr:uid="{00000000-0004-0000-0C00-000011000000}"/>
    <hyperlink ref="A21" r:id="rId19" xr:uid="{00000000-0004-0000-0C00-000012000000}"/>
    <hyperlink ref="A22" r:id="rId20" xr:uid="{00000000-0004-0000-0C00-000013000000}"/>
    <hyperlink ref="A23" r:id="rId21" xr:uid="{00000000-0004-0000-0C00-000014000000}"/>
    <hyperlink ref="A24" r:id="rId22" xr:uid="{00000000-0004-0000-0C00-000015000000}"/>
    <hyperlink ref="A25" r:id="rId23" xr:uid="{00000000-0004-0000-0C00-000016000000}"/>
    <hyperlink ref="A26" r:id="rId24" xr:uid="{00000000-0004-0000-0C00-000017000000}"/>
    <hyperlink ref="A27" r:id="rId25" xr:uid="{00000000-0004-0000-0C00-000018000000}"/>
    <hyperlink ref="A28" r:id="rId26" xr:uid="{00000000-0004-0000-0C00-000019000000}"/>
    <hyperlink ref="A29" r:id="rId27" xr:uid="{00000000-0004-0000-0C00-00001A000000}"/>
    <hyperlink ref="A30" r:id="rId28" xr:uid="{00000000-0004-0000-0C00-00001B000000}"/>
    <hyperlink ref="A31" r:id="rId29" xr:uid="{713990DC-4718-437B-8759-C82C6168C159}"/>
    <hyperlink ref="A32" r:id="rId30" xr:uid="{15A67D9F-E72D-4157-99D2-1B5F2CC2C1D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0AC9F-818B-43CF-A2AF-E67BB7A7E4B4}">
  <dimension ref="A1:S10"/>
  <sheetViews>
    <sheetView topLeftCell="C1" workbookViewId="0">
      <selection activeCell="Q2" sqref="Q2:Q10"/>
    </sheetView>
  </sheetViews>
  <sheetFormatPr defaultRowHeight="15"/>
  <cols>
    <col min="1" max="1" width="44.140625" customWidth="1"/>
    <col min="2" max="2" width="16.140625" bestFit="1" customWidth="1"/>
    <col min="3" max="3" width="19.85546875" bestFit="1" customWidth="1"/>
    <col min="4" max="4" width="24.140625" style="45" customWidth="1"/>
    <col min="5" max="5" width="10.28515625" customWidth="1"/>
    <col min="10" max="10" width="16.28515625" customWidth="1"/>
    <col min="11" max="11" width="17.42578125" customWidth="1"/>
    <col min="12" max="12" width="16.42578125" style="45" customWidth="1"/>
    <col min="13" max="13" width="16.85546875" style="45" customWidth="1"/>
    <col min="17" max="17" width="12.5703125" customWidth="1"/>
  </cols>
  <sheetData>
    <row r="1" spans="1:19" ht="45.75">
      <c r="A1" t="s">
        <v>105</v>
      </c>
      <c r="B1" t="s">
        <v>3303</v>
      </c>
      <c r="C1" t="s">
        <v>3304</v>
      </c>
      <c r="D1" s="45" t="s">
        <v>106</v>
      </c>
      <c r="E1" s="45" t="s">
        <v>3305</v>
      </c>
      <c r="F1" s="45" t="s">
        <v>3306</v>
      </c>
      <c r="G1" s="45" t="s">
        <v>3307</v>
      </c>
      <c r="H1" s="45" t="s">
        <v>107</v>
      </c>
      <c r="I1" t="s">
        <v>131</v>
      </c>
      <c r="J1" s="45" t="s">
        <v>3308</v>
      </c>
      <c r="K1" s="45" t="s">
        <v>3309</v>
      </c>
      <c r="L1" s="45" t="s">
        <v>3310</v>
      </c>
      <c r="M1" s="45" t="s">
        <v>134</v>
      </c>
      <c r="N1" s="45" t="s">
        <v>3311</v>
      </c>
      <c r="O1" s="45" t="s">
        <v>3312</v>
      </c>
      <c r="P1" s="45" t="s">
        <v>158</v>
      </c>
      <c r="Q1" s="45" t="s">
        <v>159</v>
      </c>
      <c r="R1" s="45" t="s">
        <v>160</v>
      </c>
      <c r="S1" s="45" t="s">
        <v>161</v>
      </c>
    </row>
    <row r="2" spans="1:19" ht="183">
      <c r="A2" s="45" t="s">
        <v>3313</v>
      </c>
      <c r="B2" t="s">
        <v>182</v>
      </c>
      <c r="C2" t="s">
        <v>145</v>
      </c>
      <c r="D2" s="45" t="s">
        <v>279</v>
      </c>
      <c r="E2">
        <v>63</v>
      </c>
      <c r="F2">
        <v>1</v>
      </c>
      <c r="G2">
        <v>2025</v>
      </c>
      <c r="H2" t="s">
        <v>116</v>
      </c>
      <c r="I2" t="s">
        <v>190</v>
      </c>
      <c r="J2" s="45" t="s">
        <v>266</v>
      </c>
      <c r="K2">
        <v>2025</v>
      </c>
      <c r="L2" s="45" t="s">
        <v>1231</v>
      </c>
      <c r="M2" s="45" t="s">
        <v>1233</v>
      </c>
      <c r="N2" t="s">
        <v>199</v>
      </c>
      <c r="O2" t="s">
        <v>199</v>
      </c>
      <c r="P2" t="s">
        <v>1234</v>
      </c>
      <c r="Q2" t="s">
        <v>1234</v>
      </c>
      <c r="R2" t="s">
        <v>1234</v>
      </c>
      <c r="S2" t="s">
        <v>1234</v>
      </c>
    </row>
    <row r="3" spans="1:19" ht="60.75">
      <c r="A3" s="45" t="s">
        <v>3314</v>
      </c>
      <c r="B3" t="s">
        <v>182</v>
      </c>
      <c r="C3" t="s">
        <v>145</v>
      </c>
      <c r="D3" s="45" t="s">
        <v>39</v>
      </c>
      <c r="E3">
        <v>210</v>
      </c>
      <c r="F3">
        <v>2</v>
      </c>
      <c r="G3">
        <v>2025</v>
      </c>
      <c r="H3" t="s">
        <v>116</v>
      </c>
      <c r="I3" t="s">
        <v>190</v>
      </c>
      <c r="J3" s="45" t="s">
        <v>544</v>
      </c>
      <c r="K3">
        <v>2025</v>
      </c>
      <c r="L3" s="45" t="s">
        <v>1235</v>
      </c>
      <c r="M3" s="45" t="s">
        <v>1203</v>
      </c>
      <c r="N3" t="s">
        <v>199</v>
      </c>
      <c r="O3" t="s">
        <v>199</v>
      </c>
      <c r="P3" t="s">
        <v>1234</v>
      </c>
      <c r="Q3" t="s">
        <v>1234</v>
      </c>
      <c r="R3" t="s">
        <v>1234</v>
      </c>
      <c r="S3" t="s">
        <v>1234</v>
      </c>
    </row>
    <row r="4" spans="1:19" ht="60.75">
      <c r="A4" s="45" t="s">
        <v>3315</v>
      </c>
      <c r="B4" t="s">
        <v>182</v>
      </c>
      <c r="C4" t="s">
        <v>145</v>
      </c>
      <c r="D4" s="45" t="s">
        <v>229</v>
      </c>
      <c r="E4">
        <v>28</v>
      </c>
      <c r="F4">
        <v>0</v>
      </c>
      <c r="G4">
        <v>2025</v>
      </c>
      <c r="H4" t="s">
        <v>116</v>
      </c>
      <c r="I4" t="s">
        <v>190</v>
      </c>
      <c r="J4" s="45" t="s">
        <v>334</v>
      </c>
      <c r="K4">
        <v>2025</v>
      </c>
      <c r="L4" s="45" t="s">
        <v>1239</v>
      </c>
      <c r="M4" s="45" t="s">
        <v>1203</v>
      </c>
      <c r="N4" t="s">
        <v>199</v>
      </c>
      <c r="O4" t="s">
        <v>199</v>
      </c>
      <c r="P4" t="s">
        <v>1234</v>
      </c>
      <c r="Q4" t="s">
        <v>1234</v>
      </c>
      <c r="R4" t="s">
        <v>1234</v>
      </c>
      <c r="S4" t="s">
        <v>1234</v>
      </c>
    </row>
    <row r="5" spans="1:19" ht="45.75">
      <c r="A5" s="45" t="s">
        <v>3316</v>
      </c>
      <c r="B5" t="s">
        <v>208</v>
      </c>
      <c r="C5" t="s">
        <v>145</v>
      </c>
      <c r="D5" s="45" t="s">
        <v>54</v>
      </c>
      <c r="E5">
        <v>0</v>
      </c>
      <c r="F5">
        <v>0</v>
      </c>
      <c r="G5">
        <v>2025</v>
      </c>
      <c r="H5" t="s">
        <v>220</v>
      </c>
      <c r="I5" t="s">
        <v>190</v>
      </c>
      <c r="J5" s="45" t="s">
        <v>738</v>
      </c>
      <c r="K5">
        <v>2025</v>
      </c>
      <c r="L5" s="45" t="s">
        <v>1243</v>
      </c>
      <c r="M5" s="45" t="s">
        <v>1203</v>
      </c>
      <c r="N5" t="s">
        <v>199</v>
      </c>
      <c r="O5" t="s">
        <v>199</v>
      </c>
      <c r="P5" t="s">
        <v>1234</v>
      </c>
      <c r="Q5" t="s">
        <v>1234</v>
      </c>
      <c r="R5" t="s">
        <v>1234</v>
      </c>
      <c r="S5" t="s">
        <v>1234</v>
      </c>
    </row>
    <row r="6" spans="1:19" ht="45.75">
      <c r="A6" s="45" t="s">
        <v>3317</v>
      </c>
      <c r="B6" t="s">
        <v>208</v>
      </c>
      <c r="C6" t="s">
        <v>145</v>
      </c>
      <c r="D6" s="45" t="s">
        <v>54</v>
      </c>
      <c r="E6">
        <v>3</v>
      </c>
      <c r="F6">
        <v>0</v>
      </c>
      <c r="G6">
        <v>2025</v>
      </c>
      <c r="H6" t="s">
        <v>220</v>
      </c>
      <c r="I6" t="s">
        <v>190</v>
      </c>
      <c r="J6" s="45" t="s">
        <v>1247</v>
      </c>
      <c r="K6">
        <v>2025</v>
      </c>
      <c r="L6" s="45" t="s">
        <v>1246</v>
      </c>
      <c r="M6" s="45" t="s">
        <v>1203</v>
      </c>
      <c r="N6" t="s">
        <v>199</v>
      </c>
      <c r="O6" t="s">
        <v>199</v>
      </c>
      <c r="P6" t="s">
        <v>1234</v>
      </c>
      <c r="Q6" t="s">
        <v>1234</v>
      </c>
      <c r="R6" t="s">
        <v>1234</v>
      </c>
      <c r="S6" t="s">
        <v>1234</v>
      </c>
    </row>
    <row r="7" spans="1:19" ht="45.75">
      <c r="A7" s="45" t="s">
        <v>3318</v>
      </c>
      <c r="B7" t="s">
        <v>208</v>
      </c>
      <c r="C7" t="s">
        <v>145</v>
      </c>
      <c r="D7" s="45" t="s">
        <v>54</v>
      </c>
      <c r="E7">
        <v>18</v>
      </c>
      <c r="F7">
        <v>0</v>
      </c>
      <c r="G7">
        <v>2025</v>
      </c>
      <c r="H7" t="s">
        <v>220</v>
      </c>
      <c r="I7" t="s">
        <v>190</v>
      </c>
      <c r="J7" s="45" t="s">
        <v>1252</v>
      </c>
      <c r="K7">
        <v>2025</v>
      </c>
      <c r="L7" s="45" t="s">
        <v>1251</v>
      </c>
      <c r="M7" s="45" t="s">
        <v>1203</v>
      </c>
      <c r="N7" t="s">
        <v>199</v>
      </c>
      <c r="O7" t="s">
        <v>199</v>
      </c>
      <c r="P7" t="s">
        <v>1234</v>
      </c>
      <c r="Q7" t="s">
        <v>1234</v>
      </c>
      <c r="R7" t="s">
        <v>1234</v>
      </c>
      <c r="S7" t="s">
        <v>1234</v>
      </c>
    </row>
    <row r="8" spans="1:19" ht="45.75">
      <c r="A8" s="45" t="s">
        <v>3319</v>
      </c>
      <c r="B8" t="s">
        <v>208</v>
      </c>
      <c r="C8" t="s">
        <v>145</v>
      </c>
      <c r="D8" s="45" t="s">
        <v>54</v>
      </c>
      <c r="E8">
        <v>3</v>
      </c>
      <c r="F8">
        <v>0</v>
      </c>
      <c r="G8">
        <v>2025</v>
      </c>
      <c r="H8" t="s">
        <v>220</v>
      </c>
      <c r="I8" t="s">
        <v>190</v>
      </c>
      <c r="J8" s="45" t="s">
        <v>1122</v>
      </c>
      <c r="K8">
        <v>2025</v>
      </c>
      <c r="L8" s="45" t="s">
        <v>1256</v>
      </c>
      <c r="M8" s="45" t="s">
        <v>1203</v>
      </c>
      <c r="N8" t="s">
        <v>199</v>
      </c>
      <c r="O8" t="s">
        <v>199</v>
      </c>
      <c r="P8" t="s">
        <v>1234</v>
      </c>
      <c r="Q8" t="s">
        <v>1234</v>
      </c>
      <c r="R8" t="s">
        <v>1234</v>
      </c>
      <c r="S8" t="s">
        <v>1234</v>
      </c>
    </row>
    <row r="9" spans="1:19" ht="45.75">
      <c r="A9" s="45" t="s">
        <v>3320</v>
      </c>
      <c r="B9" t="s">
        <v>208</v>
      </c>
      <c r="C9" t="s">
        <v>145</v>
      </c>
      <c r="D9" s="45" t="s">
        <v>54</v>
      </c>
      <c r="E9">
        <v>33</v>
      </c>
      <c r="F9">
        <v>0</v>
      </c>
      <c r="G9">
        <v>2025</v>
      </c>
      <c r="H9" t="s">
        <v>220</v>
      </c>
      <c r="I9" t="s">
        <v>190</v>
      </c>
      <c r="J9" s="45" t="s">
        <v>1261</v>
      </c>
      <c r="K9">
        <v>2025</v>
      </c>
      <c r="L9" s="45" t="s">
        <v>1260</v>
      </c>
      <c r="M9" s="45" t="s">
        <v>1203</v>
      </c>
      <c r="N9" t="s">
        <v>199</v>
      </c>
      <c r="O9" t="s">
        <v>199</v>
      </c>
      <c r="P9" t="s">
        <v>1234</v>
      </c>
      <c r="Q9" t="s">
        <v>1234</v>
      </c>
      <c r="R9" t="s">
        <v>1234</v>
      </c>
      <c r="S9" t="s">
        <v>1234</v>
      </c>
    </row>
    <row r="10" spans="1:19" ht="30.75">
      <c r="A10" s="45" t="s">
        <v>3321</v>
      </c>
      <c r="B10" t="s">
        <v>208</v>
      </c>
      <c r="C10" t="s">
        <v>145</v>
      </c>
      <c r="D10" s="45" t="s">
        <v>54</v>
      </c>
      <c r="E10">
        <v>6</v>
      </c>
      <c r="F10">
        <v>0</v>
      </c>
      <c r="G10">
        <v>2025</v>
      </c>
      <c r="H10" t="s">
        <v>220</v>
      </c>
      <c r="I10" t="s">
        <v>190</v>
      </c>
      <c r="J10" s="45" t="s">
        <v>710</v>
      </c>
      <c r="K10">
        <v>2025</v>
      </c>
      <c r="L10" s="45" t="s">
        <v>1265</v>
      </c>
      <c r="M10" s="45" t="s">
        <v>1203</v>
      </c>
      <c r="N10" t="s">
        <v>199</v>
      </c>
      <c r="O10" t="s">
        <v>199</v>
      </c>
      <c r="P10" t="s">
        <v>1234</v>
      </c>
      <c r="Q10" t="s">
        <v>1234</v>
      </c>
      <c r="R10" t="s">
        <v>1234</v>
      </c>
      <c r="S10" t="s">
        <v>1234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7E79749B7C3F74A9A29A1ADF0A7E8FB" ma:contentTypeVersion="12" ma:contentTypeDescription="Criar um novo documento." ma:contentTypeScope="" ma:versionID="0cd0ab8e423c4088cd58041b2a1f29d8">
  <xsd:schema xmlns:xsd="http://www.w3.org/2001/XMLSchema" xmlns:xs="http://www.w3.org/2001/XMLSchema" xmlns:p="http://schemas.microsoft.com/office/2006/metadata/properties" xmlns:ns2="0b2d7238-8464-4e75-902c-3d92fa21ac9a" xmlns:ns3="59e1dad2-b609-4356-b2eb-6e181277e105" targetNamespace="http://schemas.microsoft.com/office/2006/metadata/properties" ma:root="true" ma:fieldsID="a3db1acb0a0b9c78f3836e5c0a36f061" ns2:_="" ns3:_="">
    <xsd:import namespace="0b2d7238-8464-4e75-902c-3d92fa21ac9a"/>
    <xsd:import namespace="59e1dad2-b609-4356-b2eb-6e181277e1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2d7238-8464-4e75-902c-3d92fa21ac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c331b9e9-6d3a-4942-a242-23944f1ae66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e1dad2-b609-4356-b2eb-6e181277e10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6797c0b-fb9a-4929-ae2c-4bb1e5ec14fb}" ma:internalName="TaxCatchAll" ma:showField="CatchAllData" ma:web="59e1dad2-b609-4356-b2eb-6e181277e1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9e1dad2-b609-4356-b2eb-6e181277e105" xsi:nil="true"/>
    <lcf76f155ced4ddcb4097134ff3c332f xmlns="0b2d7238-8464-4e75-902c-3d92fa21ac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8DE1CDE-31F9-44E8-9B79-F78D49A9E998}"/>
</file>

<file path=customXml/itemProps2.xml><?xml version="1.0" encoding="utf-8"?>
<ds:datastoreItem xmlns:ds="http://schemas.openxmlformats.org/officeDocument/2006/customXml" ds:itemID="{2AAAFB8A-30D3-40D2-BE3F-44B63B09508C}"/>
</file>

<file path=customXml/itemProps3.xml><?xml version="1.0" encoding="utf-8"?>
<ds:datastoreItem xmlns:ds="http://schemas.openxmlformats.org/officeDocument/2006/customXml" ds:itemID="{E25120B0-A303-428F-90F5-52754F15B1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Isadora Machado</dc:creator>
  <cp:keywords/>
  <dc:description/>
  <cp:lastModifiedBy/>
  <cp:revision/>
  <dcterms:created xsi:type="dcterms:W3CDTF">2015-06-05T18:19:34Z</dcterms:created>
  <dcterms:modified xsi:type="dcterms:W3CDTF">2026-08-21T11:24:20Z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0x010100B7E79749B7C3F74A9A29A1ADF0A7E8FB</vt:lpwstr>
  </property>
  <property fmtid="{D5CDD505-2E9C-101B-9397-08002B2CF9AE}" pid="3" name="MediaServiceImageTags">
    <vt:lpwstr/>
  </property>
</Properties>
</file>